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вки" sheetId="1" state="visible" r:id="rId1"/>
    <sheet name="Позиции" sheetId="2" state="visible" r:id="rId2"/>
    <sheet name="Расчёт" sheetId="3" state="visible" r:id="rId3"/>
    <sheet name="Angebot" sheetId="4" state="visible" r:id="rId4"/>
    <sheet name="Как пользоваться" sheetId="5" state="visible" r:id="rId5"/>
  </sheets>
  <definedNames>
    <definedName name="_xlnm.Print_Area" localSheetId="3">'Angebot'!$A$1:$F$55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 &quot;€&quot;"/>
    <numFmt numFmtId="165" formatCode="0.0%"/>
    <numFmt numFmtId="166" formatCode="#,##0.00 &quot;€&quot;;-#,##0.00 &quot;€&quot;;&quot;-&quot;"/>
    <numFmt numFmtId="167" formatCode="0.0%;-0.0%;&quot;-&quot;"/>
    <numFmt numFmtId="168" formatCode="DD.MM.YYYY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i val="1"/>
      <color rgb="00808080"/>
      <sz val="10"/>
    </font>
    <font>
      <name val="Arial"/>
      <i val="1"/>
      <color rgb="00C00000"/>
      <sz val="10"/>
    </font>
    <font>
      <name val="Arial"/>
      <b val="1"/>
      <color rgb="00000000"/>
      <sz val="12"/>
    </font>
    <font>
      <name val="Arial"/>
      <b val="1"/>
      <color rgb="00000000"/>
      <sz val="1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  <xf numFmtId="165" fontId="5" fillId="3" borderId="1" pivotButton="0" quotePrefix="0" xfId="0"/>
    <xf numFmtId="49" fontId="5" fillId="3" borderId="1" pivotButton="0" quotePrefix="0" xfId="0"/>
    <xf numFmtId="1" fontId="5" fillId="3" borderId="1" pivotButton="0" quotePrefix="0" xfId="0"/>
    <xf numFmtId="9" fontId="5" fillId="0" borderId="1" pivotButton="0" quotePrefix="0" xfId="0"/>
    <xf numFmtId="0" fontId="4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2" fontId="5" fillId="3" borderId="1" pivotButton="0" quotePrefix="0" xfId="0"/>
    <xf numFmtId="0" fontId="8" fillId="0" borderId="1" pivotButton="0" quotePrefix="0" xfId="0"/>
    <xf numFmtId="0" fontId="5" fillId="3" borderId="1" pivotButton="0" quotePrefix="0" xfId="0"/>
    <xf numFmtId="0" fontId="9" fillId="0" borderId="0" pivotButton="0" quotePrefix="0" xfId="0"/>
    <xf numFmtId="0" fontId="0" fillId="3" borderId="0" pivotButton="0" quotePrefix="0" xfId="0"/>
    <xf numFmtId="4" fontId="5" fillId="3" borderId="1" pivotButton="0" quotePrefix="0" xfId="0"/>
    <xf numFmtId="2" fontId="4" fillId="0" borderId="1" pivotButton="0" quotePrefix="0" xfId="0"/>
    <xf numFmtId="166" fontId="4" fillId="0" borderId="1" pivotButton="0" quotePrefix="0" xfId="0"/>
    <xf numFmtId="166" fontId="0" fillId="0" borderId="0" pivotButton="0" quotePrefix="0" xfId="0"/>
    <xf numFmtId="0" fontId="10" fillId="0" borderId="0" pivotButton="0" quotePrefix="0" xfId="0"/>
    <xf numFmtId="166" fontId="6" fillId="5" borderId="1" pivotButton="0" quotePrefix="0" xfId="0"/>
    <xf numFmtId="167" fontId="6" fillId="5" borderId="1" pivotButton="0" quotePrefix="0" xfId="0"/>
    <xf numFmtId="168" fontId="4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wrapText="1"/>
    </xf>
    <xf numFmtId="4" fontId="4" fillId="0" borderId="1" pivotButton="0" quotePrefix="0" xfId="0"/>
    <xf numFmtId="0" fontId="6" fillId="0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Сметчик</author>
  </authors>
  <commentList>
    <comment ref="B13" authorId="0" shapeId="0">
      <text>
        <t>19 % — Regelsteuersatz по § 12 Abs. 1 UStG. Менять только при изменении закона.</t>
      </text>
    </comment>
  </commentList>
</comments>
</file>

<file path=xl/comments/comment2.xml><?xml version="1.0" encoding="utf-8"?>
<comments xmlns="http://schemas.openxmlformats.org/spreadsheetml/2006/main">
  <authors>
    <author>Сметчик</author>
  </authors>
  <commentList>
    <comment ref="B6" authorId="0" shapeId="0">
      <text>
        <t>Пример заполнения (25 m² перегородки). Цены не заданы — поэтому «нет ставки», пока не заполнены «Ставки» и «Позиции». Можно перезаписать.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8" customWidth="1" min="3" max="3"/>
    <col width="26" customWidth="1" min="4" max="4"/>
    <col width="52" customWidth="1" min="5" max="5"/>
  </cols>
  <sheetData>
    <row r="1">
      <c r="A1" s="1" t="inlineStr">
        <is>
          <t>Ставки фирмы / Sätze und Zuschläge</t>
        </is>
      </c>
    </row>
    <row r="2">
      <c r="A2" s="2" t="inlineStr">
        <is>
          <t>Жёлтые ячейки заполняет владелец (один раз). Пустая ячейка = «нет ставки» в расчёте. Проценты вводить как 15 %, а не 0,15.</t>
        </is>
      </c>
    </row>
    <row r="3">
      <c r="A3" s="3" t="inlineStr">
        <is>
          <t>Параметр (RU)</t>
        </is>
      </c>
      <c r="B3" s="3" t="inlineStr">
        <is>
          <t>Значение</t>
        </is>
      </c>
      <c r="C3" s="3" t="inlineStr">
        <is>
          <t>Einheit</t>
        </is>
      </c>
      <c r="D3" s="3" t="inlineStr">
        <is>
          <t>Bezeichnung (DE)</t>
        </is>
      </c>
      <c r="E3" s="3" t="inlineStr">
        <is>
          <t>Пояснение</t>
        </is>
      </c>
    </row>
    <row r="4">
      <c r="A4" s="4" t="inlineStr">
        <is>
          <t>Ставка подмастерья / рабочего</t>
        </is>
      </c>
      <c r="B4" s="5" t="n"/>
      <c r="C4" s="4" t="inlineStr">
        <is>
          <t>€/h</t>
        </is>
      </c>
      <c r="D4" s="6" t="inlineStr">
        <is>
          <t>Stundensatz Geselle</t>
        </is>
      </c>
      <c r="E4" s="7" t="inlineStr">
        <is>
          <t>Kalkulationssatz за час (без MwSt)</t>
        </is>
      </c>
    </row>
    <row r="5">
      <c r="A5" s="4" t="inlineStr">
        <is>
          <t>Ставка мастера</t>
        </is>
      </c>
      <c r="B5" s="5" t="n"/>
      <c r="C5" s="4" t="inlineStr">
        <is>
          <t>€/h</t>
        </is>
      </c>
      <c r="D5" s="6" t="inlineStr">
        <is>
          <t>Stundensatz Meister</t>
        </is>
      </c>
      <c r="E5" s="7" t="inlineStr">
        <is>
          <t>Kalkulationssatz за час (без MwSt)</t>
        </is>
      </c>
    </row>
    <row r="6">
      <c r="A6" s="4" t="inlineStr">
        <is>
          <t>Наценка на материал</t>
        </is>
      </c>
      <c r="B6" s="8" t="n"/>
      <c r="C6" s="4" t="inlineStr">
        <is>
          <t>%</t>
        </is>
      </c>
      <c r="D6" s="6" t="inlineStr">
        <is>
          <t>Materialaufschlag</t>
        </is>
      </c>
      <c r="E6" s="7" t="inlineStr">
        <is>
          <t>Наценка на закупочную цену материала</t>
        </is>
      </c>
    </row>
    <row r="7">
      <c r="A7" s="4" t="inlineStr">
        <is>
          <t>Накладные расходы</t>
        </is>
      </c>
      <c r="B7" s="8" t="n"/>
      <c r="C7" s="4" t="inlineStr">
        <is>
          <t>%</t>
        </is>
      </c>
      <c r="D7" s="6" t="inlineStr">
        <is>
          <t>Gemeinkosten (BGK/AGK)</t>
        </is>
      </c>
      <c r="E7" s="7" t="inlineStr">
        <is>
          <t>На сумму Lohn + Material</t>
        </is>
      </c>
    </row>
    <row r="8">
      <c r="A8" s="4" t="inlineStr">
        <is>
          <t>Риск</t>
        </is>
      </c>
      <c r="B8" s="8" t="n"/>
      <c r="C8" s="4" t="inlineStr">
        <is>
          <t>%</t>
        </is>
      </c>
      <c r="D8" s="6" t="inlineStr">
        <is>
          <t>Wagnis</t>
        </is>
      </c>
      <c r="E8" s="7" t="inlineStr">
        <is>
          <t>На Selbstkosten</t>
        </is>
      </c>
    </row>
    <row r="9">
      <c r="A9" s="4" t="inlineStr">
        <is>
          <t>Прибыль</t>
        </is>
      </c>
      <c r="B9" s="8" t="n"/>
      <c r="C9" s="4" t="inlineStr">
        <is>
          <t>%</t>
        </is>
      </c>
      <c r="D9" s="6" t="inlineStr">
        <is>
          <t>Gewinn</t>
        </is>
      </c>
      <c r="E9" s="7" t="inlineStr">
        <is>
          <t>На Selbstkosten</t>
        </is>
      </c>
    </row>
    <row r="10">
      <c r="A10" s="4" t="inlineStr">
        <is>
          <t>Транспорт за км</t>
        </is>
      </c>
      <c r="B10" s="5" t="n"/>
      <c r="C10" s="4" t="inlineStr">
        <is>
          <t>€/km</t>
        </is>
      </c>
      <c r="D10" s="6" t="inlineStr">
        <is>
          <t>Fahrtkosten</t>
        </is>
      </c>
      <c r="E10" s="7" t="inlineStr">
        <is>
          <t>Цена за 1 км пути</t>
        </is>
      </c>
    </row>
    <row r="11">
      <c r="A11" s="4" t="inlineStr">
        <is>
          <t>Почтовый индекс базы</t>
        </is>
      </c>
      <c r="B11" s="9" t="n"/>
      <c r="C11" s="4" t="inlineStr">
        <is>
          <t>PLZ</t>
        </is>
      </c>
      <c r="D11" s="6" t="inlineStr">
        <is>
          <t>Firmensitz PLZ</t>
        </is>
      </c>
      <c r="E11" s="7" t="inlineStr">
        <is>
          <t>Откуда считается радиус (для агента 3)</t>
        </is>
      </c>
    </row>
    <row r="12">
      <c r="A12" s="4" t="inlineStr">
        <is>
          <t>Рабочий радиус</t>
        </is>
      </c>
      <c r="B12" s="10" t="n"/>
      <c r="C12" s="4" t="inlineStr">
        <is>
          <t>km</t>
        </is>
      </c>
      <c r="D12" s="6" t="inlineStr">
        <is>
          <t>Einsatzradius</t>
        </is>
      </c>
      <c r="E12" s="7" t="inlineStr">
        <is>
          <t>Дальше — заявки не берём / отдельно</t>
        </is>
      </c>
    </row>
    <row r="13">
      <c r="A13" s="4" t="inlineStr">
        <is>
          <t>НДС</t>
        </is>
      </c>
      <c r="B13" s="11" t="n">
        <v>0.19</v>
      </c>
      <c r="C13" s="4" t="inlineStr">
        <is>
          <t>%</t>
        </is>
      </c>
      <c r="D13" s="6" t="inlineStr">
        <is>
          <t>MwSt (Regelsteuersatz)</t>
        </is>
      </c>
      <c r="E13" s="7" t="inlineStr">
        <is>
          <t>Установлен законом (§ 12 UStG), заполнено заранее</t>
        </is>
      </c>
    </row>
    <row r="15">
      <c r="A15" s="6" t="inlineStr">
        <is>
          <t>Легенда:</t>
        </is>
      </c>
    </row>
    <row r="16">
      <c r="A16" s="12" t="inlineStr">
        <is>
          <t>жёлтая ячейка</t>
        </is>
      </c>
      <c r="B16" s="4" t="inlineStr">
        <is>
          <t>вводит владелец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40" customWidth="1" min="3" max="3"/>
    <col width="8" customWidth="1" min="4" max="4"/>
    <col width="14" customWidth="1" min="5" max="5"/>
    <col width="18" customWidth="1" min="6" max="6"/>
    <col width="22" customWidth="1" min="7" max="7"/>
    <col width="36" customWidth="1" min="8" max="8"/>
  </cols>
  <sheetData>
    <row r="1">
      <c r="A1" s="1" t="inlineStr">
        <is>
          <t>Каталог позиций Innenausbau / Leistungsverzeichnis (Stamm)</t>
        </is>
      </c>
    </row>
    <row r="2">
      <c r="A2" s="2" t="inlineStr">
        <is>
          <t>Жёлтые столбцы E (часы на единицу) и F (материал €/ед.) заполняет владелец — только они идут в расчёт. Столбец G — ориентир, проверить по своему опыту; в формулах НЕ используется.</t>
        </is>
      </c>
    </row>
    <row r="4" ht="48" customHeight="1">
      <c r="A4" s="3" t="inlineStr">
        <is>
          <t>Код</t>
        </is>
      </c>
      <c r="B4" s="3" t="inlineStr">
        <is>
          <t>Position (DE)</t>
        </is>
      </c>
      <c r="C4" s="3" t="inlineStr">
        <is>
          <t>Описание (RU)</t>
        </is>
      </c>
      <c r="D4" s="3" t="inlineStr">
        <is>
          <t>Einheit</t>
        </is>
      </c>
      <c r="E4" s="3" t="inlineStr">
        <is>
          <t>Zeit h/Einheit
(владелец)</t>
        </is>
      </c>
      <c r="F4" s="3" t="inlineStr">
        <is>
          <t>Material €/Einheit
(владелец, Einkauf netto)</t>
        </is>
      </c>
      <c r="G4" s="3" t="inlineStr">
        <is>
          <t>Ориентир h/ед.
«ориентир, проверить по своему опыту»</t>
        </is>
      </c>
      <c r="H4" s="3" t="inlineStr">
        <is>
          <t>Примечание</t>
        </is>
      </c>
    </row>
    <row r="5">
      <c r="A5" s="13" t="inlineStr">
        <is>
          <t>01 Abbruch / Entsorgung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15" t="inlineStr">
        <is>
          <t>AB-01</t>
        </is>
      </c>
      <c r="B6" s="15" t="inlineStr">
        <is>
          <t>Abbruch Trockenbauwand</t>
        </is>
      </c>
      <c r="C6" s="15" t="inlineStr">
        <is>
          <t>Демонтаж ГКЛ-перегородки</t>
        </is>
      </c>
      <c r="D6" s="15" t="inlineStr">
        <is>
          <t>m²</t>
        </is>
      </c>
      <c r="E6" s="16" t="n"/>
      <c r="F6" s="5" t="n"/>
      <c r="G6" s="17" t="inlineStr">
        <is>
          <t>0,3–0,5</t>
        </is>
      </c>
      <c r="H6" s="15" t="inlineStr"/>
    </row>
    <row r="7">
      <c r="A7" s="15" t="inlineStr">
        <is>
          <t>AB-02</t>
        </is>
      </c>
      <c r="B7" s="15" t="inlineStr">
        <is>
          <t>Abbruch Wandfliesen inkl. Kleber</t>
        </is>
      </c>
      <c r="C7" s="15" t="inlineStr">
        <is>
          <t>Сбивка настенной плитки</t>
        </is>
      </c>
      <c r="D7" s="15" t="inlineStr">
        <is>
          <t>m²</t>
        </is>
      </c>
      <c r="E7" s="16" t="n"/>
      <c r="F7" s="5" t="n"/>
      <c r="G7" s="17" t="inlineStr">
        <is>
          <t>0,5–0,8</t>
        </is>
      </c>
      <c r="H7" s="15" t="inlineStr"/>
    </row>
    <row r="8">
      <c r="A8" s="15" t="inlineStr">
        <is>
          <t>AB-03</t>
        </is>
      </c>
      <c r="B8" s="15" t="inlineStr">
        <is>
          <t>Abbruch Bodenbelag (Teppich/PVC/Laminat)</t>
        </is>
      </c>
      <c r="C8" s="15" t="inlineStr">
        <is>
          <t>Снятие напольного покрытия</t>
        </is>
      </c>
      <c r="D8" s="15" t="inlineStr">
        <is>
          <t>m²</t>
        </is>
      </c>
      <c r="E8" s="16" t="n"/>
      <c r="F8" s="5" t="n"/>
      <c r="G8" s="17" t="inlineStr">
        <is>
          <t>0,1–0,25</t>
        </is>
      </c>
      <c r="H8" s="15" t="inlineStr"/>
    </row>
    <row r="9">
      <c r="A9" s="15" t="inlineStr">
        <is>
          <t>AB-04</t>
        </is>
      </c>
      <c r="B9" s="15" t="inlineStr">
        <is>
          <t>Abbruch Estrich</t>
        </is>
      </c>
      <c r="C9" s="15" t="inlineStr">
        <is>
          <t>Демонтаж стяжки</t>
        </is>
      </c>
      <c r="D9" s="15" t="inlineStr">
        <is>
          <t>m²</t>
        </is>
      </c>
      <c r="E9" s="16" t="n"/>
      <c r="F9" s="5" t="n"/>
      <c r="G9" s="17" t="inlineStr"/>
      <c r="H9" s="15" t="inlineStr">
        <is>
          <t>сильно зависит от толщины</t>
        </is>
      </c>
    </row>
    <row r="10">
      <c r="A10" s="15" t="inlineStr">
        <is>
          <t>EN-01</t>
        </is>
      </c>
      <c r="B10" s="15" t="inlineStr">
        <is>
          <t>Entsorgung Bauschutt / Mischabfall</t>
        </is>
      </c>
      <c r="C10" s="15" t="inlineStr">
        <is>
          <t>Вывоз и утилизация мусора</t>
        </is>
      </c>
      <c r="D10" s="15" t="inlineStr">
        <is>
          <t>m³</t>
        </is>
      </c>
      <c r="E10" s="16" t="n"/>
      <c r="F10" s="5" t="n"/>
      <c r="G10" s="17" t="inlineStr"/>
      <c r="H10" s="15" t="inlineStr">
        <is>
          <t>в столбец F — цена контейнера/полигона за m³</t>
        </is>
      </c>
    </row>
    <row r="11">
      <c r="A11" s="13" t="inlineStr">
        <is>
          <t>02 Trockenbau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15" t="inlineStr">
        <is>
          <t>TB-01</t>
        </is>
      </c>
      <c r="B12" s="15" t="inlineStr">
        <is>
          <t>Trockenbau Wand CW/UW 75, 2-lagig beplankt, inkl. Dämmung</t>
        </is>
      </c>
      <c r="C12" s="15" t="inlineStr">
        <is>
          <t>Перегородка ГКЛ на профиле, 2 слоя, с утеплителем</t>
        </is>
      </c>
      <c r="D12" s="15" t="inlineStr">
        <is>
          <t>m²</t>
        </is>
      </c>
      <c r="E12" s="16" t="n"/>
      <c r="F12" s="5" t="n"/>
      <c r="G12" s="17" t="inlineStr">
        <is>
          <t>0,8–1,2</t>
        </is>
      </c>
      <c r="H12" s="15" t="inlineStr"/>
    </row>
    <row r="13">
      <c r="A13" s="15" t="inlineStr">
        <is>
          <t>TB-02</t>
        </is>
      </c>
      <c r="B13" s="15" t="inlineStr">
        <is>
          <t>Trockenbau Vorsatzschale</t>
        </is>
      </c>
      <c r="C13" s="15" t="inlineStr">
        <is>
          <t>Облицовка стены ГКЛ на профиле</t>
        </is>
      </c>
      <c r="D13" s="15" t="inlineStr">
        <is>
          <t>m²</t>
        </is>
      </c>
      <c r="E13" s="16" t="n"/>
      <c r="F13" s="5" t="n"/>
      <c r="G13" s="17" t="inlineStr">
        <is>
          <t>0,6–0,9</t>
        </is>
      </c>
      <c r="H13" s="15" t="inlineStr"/>
    </row>
    <row r="14">
      <c r="A14" s="15" t="inlineStr">
        <is>
          <t>TB-03</t>
        </is>
      </c>
      <c r="B14" s="15" t="inlineStr">
        <is>
          <t>Trockenbau Decke abgehängt (CD-Profil)</t>
        </is>
      </c>
      <c r="C14" s="15" t="inlineStr">
        <is>
          <t>Подвесной потолок ГКЛ</t>
        </is>
      </c>
      <c r="D14" s="15" t="inlineStr">
        <is>
          <t>m²</t>
        </is>
      </c>
      <c r="E14" s="16" t="n"/>
      <c r="F14" s="5" t="n"/>
      <c r="G14" s="17" t="inlineStr">
        <is>
          <t>0,8–1,2</t>
        </is>
      </c>
      <c r="H14" s="15" t="inlineStr"/>
    </row>
    <row r="15">
      <c r="A15" s="15" t="inlineStr">
        <is>
          <t>TB-04</t>
        </is>
      </c>
      <c r="B15" s="15" t="inlineStr">
        <is>
          <t>Trockenbau Dachschräge</t>
        </is>
      </c>
      <c r="C15" s="15" t="inlineStr">
        <is>
          <t>Обшивка мансардного ската</t>
        </is>
      </c>
      <c r="D15" s="15" t="inlineStr">
        <is>
          <t>m²</t>
        </is>
      </c>
      <c r="E15" s="16" t="n"/>
      <c r="F15" s="5" t="n"/>
      <c r="G15" s="17" t="inlineStr">
        <is>
          <t>0,8–1,2</t>
        </is>
      </c>
      <c r="H15" s="15" t="inlineStr"/>
    </row>
    <row r="16">
      <c r="A16" s="15" t="inlineStr">
        <is>
          <t>TB-05</t>
        </is>
      </c>
      <c r="B16" s="15" t="inlineStr">
        <is>
          <t>Türöffnung in Trockenbauwand (UA-Profil)</t>
        </is>
      </c>
      <c r="C16" s="15" t="inlineStr">
        <is>
          <t>Проём под дверь в ГКЛ-стене</t>
        </is>
      </c>
      <c r="D16" s="15" t="inlineStr">
        <is>
          <t>Stk</t>
        </is>
      </c>
      <c r="E16" s="16" t="n"/>
      <c r="F16" s="5" t="n"/>
      <c r="G16" s="17" t="inlineStr">
        <is>
          <t>0,8–1,5</t>
        </is>
      </c>
      <c r="H16" s="15" t="inlineStr"/>
    </row>
    <row r="17">
      <c r="A17" s="15" t="inlineStr">
        <is>
          <t>TB-06</t>
        </is>
      </c>
      <c r="B17" s="15" t="inlineStr">
        <is>
          <t>Revisionsklappe einbauen</t>
        </is>
      </c>
      <c r="C17" s="15" t="inlineStr">
        <is>
          <t>Установка ревизионного люка</t>
        </is>
      </c>
      <c r="D17" s="15" t="inlineStr">
        <is>
          <t>Stk</t>
        </is>
      </c>
      <c r="E17" s="16" t="n"/>
      <c r="F17" s="5" t="n"/>
      <c r="G17" s="17" t="inlineStr">
        <is>
          <t>0,5–1,0</t>
        </is>
      </c>
      <c r="H17" s="15" t="inlineStr"/>
    </row>
    <row r="18">
      <c r="A18" s="13" t="inlineStr">
        <is>
          <t>03 Spachteln / Maler</t>
        </is>
      </c>
      <c r="B18" s="14" t="n"/>
      <c r="C18" s="14" t="n"/>
      <c r="D18" s="14" t="n"/>
      <c r="E18" s="14" t="n"/>
      <c r="F18" s="14" t="n"/>
      <c r="G18" s="14" t="n"/>
      <c r="H18" s="14" t="n"/>
    </row>
    <row r="19">
      <c r="A19" s="15" t="inlineStr">
        <is>
          <t>SP-01</t>
        </is>
      </c>
      <c r="B19" s="15" t="inlineStr">
        <is>
          <t>Spachteln Q2</t>
        </is>
      </c>
      <c r="C19" s="15" t="inlineStr">
        <is>
          <t>Шпаклёвка Q2 (стандарт)</t>
        </is>
      </c>
      <c r="D19" s="15" t="inlineStr">
        <is>
          <t>m²</t>
        </is>
      </c>
      <c r="E19" s="16" t="n"/>
      <c r="F19" s="5" t="n"/>
      <c r="G19" s="17" t="inlineStr">
        <is>
          <t>0,15–0,25</t>
        </is>
      </c>
      <c r="H19" s="15" t="inlineStr"/>
    </row>
    <row r="20">
      <c r="A20" s="15" t="inlineStr">
        <is>
          <t>SP-02</t>
        </is>
      </c>
      <c r="B20" s="15" t="inlineStr">
        <is>
          <t>Spachteln Q3</t>
        </is>
      </c>
      <c r="C20" s="15" t="inlineStr">
        <is>
          <t>Шпаклёвка Q3 (под гладкую покраску)</t>
        </is>
      </c>
      <c r="D20" s="15" t="inlineStr">
        <is>
          <t>m²</t>
        </is>
      </c>
      <c r="E20" s="16" t="n"/>
      <c r="F20" s="5" t="n"/>
      <c r="G20" s="17" t="inlineStr">
        <is>
          <t>0,3–0,45</t>
        </is>
      </c>
      <c r="H20" s="15" t="inlineStr"/>
    </row>
    <row r="21">
      <c r="A21" s="15" t="inlineStr">
        <is>
          <t>MA-01</t>
        </is>
      </c>
      <c r="B21" s="15" t="inlineStr">
        <is>
          <t>Abdecken / Abkleben</t>
        </is>
      </c>
      <c r="C21" s="15" t="inlineStr">
        <is>
          <t>Укрытие и оклейка</t>
        </is>
      </c>
      <c r="D21" s="15" t="inlineStr">
        <is>
          <t>m²</t>
        </is>
      </c>
      <c r="E21" s="16" t="n"/>
      <c r="F21" s="5" t="n"/>
      <c r="G21" s="17" t="inlineStr">
        <is>
          <t>0,03–0,06</t>
        </is>
      </c>
      <c r="H21" s="15" t="inlineStr">
        <is>
          <t>на m² пола</t>
        </is>
      </c>
    </row>
    <row r="22">
      <c r="A22" s="15" t="inlineStr">
        <is>
          <t>MA-02</t>
        </is>
      </c>
      <c r="B22" s="15" t="inlineStr">
        <is>
          <t>Grundierung / Tiefgrund</t>
        </is>
      </c>
      <c r="C22" s="15" t="inlineStr">
        <is>
          <t>Грунтовка</t>
        </is>
      </c>
      <c r="D22" s="15" t="inlineStr">
        <is>
          <t>m²</t>
        </is>
      </c>
      <c r="E22" s="16" t="n"/>
      <c r="F22" s="5" t="n"/>
      <c r="G22" s="17" t="inlineStr">
        <is>
          <t>0,03–0,05</t>
        </is>
      </c>
      <c r="H22" s="15" t="inlineStr"/>
    </row>
    <row r="23">
      <c r="A23" s="15" t="inlineStr">
        <is>
          <t>MA-03</t>
        </is>
      </c>
      <c r="B23" s="15" t="inlineStr">
        <is>
          <t>Malerarbeiten Wand, Dispersion 2x</t>
        </is>
      </c>
      <c r="C23" s="15" t="inlineStr">
        <is>
          <t>Покраска стен, 2 слоя</t>
        </is>
      </c>
      <c r="D23" s="15" t="inlineStr">
        <is>
          <t>m²</t>
        </is>
      </c>
      <c r="E23" s="16" t="n"/>
      <c r="F23" s="5" t="n"/>
      <c r="G23" s="17" t="inlineStr">
        <is>
          <t>0,12–0,2</t>
        </is>
      </c>
      <c r="H23" s="15" t="inlineStr"/>
    </row>
    <row r="24">
      <c r="A24" s="15" t="inlineStr">
        <is>
          <t>MA-04</t>
        </is>
      </c>
      <c r="B24" s="15" t="inlineStr">
        <is>
          <t>Malerarbeiten Decke, Dispersion 2x</t>
        </is>
      </c>
      <c r="C24" s="15" t="inlineStr">
        <is>
          <t>Покраска потолка, 2 слоя</t>
        </is>
      </c>
      <c r="D24" s="15" t="inlineStr">
        <is>
          <t>m²</t>
        </is>
      </c>
      <c r="E24" s="16" t="n"/>
      <c r="F24" s="5" t="n"/>
      <c r="G24" s="17" t="inlineStr">
        <is>
          <t>0,15–0,25</t>
        </is>
      </c>
      <c r="H24" s="15" t="inlineStr"/>
    </row>
    <row r="25">
      <c r="A25" s="15" t="inlineStr">
        <is>
          <t>MA-05</t>
        </is>
      </c>
      <c r="B25" s="15" t="inlineStr">
        <is>
          <t>Tapezieren Raufaser / Vlies</t>
        </is>
      </c>
      <c r="C25" s="15" t="inlineStr">
        <is>
          <t>Поклейка обоев</t>
        </is>
      </c>
      <c r="D25" s="15" t="inlineStr">
        <is>
          <t>m²</t>
        </is>
      </c>
      <c r="E25" s="16" t="n"/>
      <c r="F25" s="5" t="n"/>
      <c r="G25" s="17" t="inlineStr">
        <is>
          <t>0,2–0,3</t>
        </is>
      </c>
      <c r="H25" s="15" t="inlineStr"/>
    </row>
    <row r="26">
      <c r="A26" s="13" t="inlineStr">
        <is>
          <t>04 Boden</t>
        </is>
      </c>
      <c r="B26" s="14" t="n"/>
      <c r="C26" s="14" t="n"/>
      <c r="D26" s="14" t="n"/>
      <c r="E26" s="14" t="n"/>
      <c r="F26" s="14" t="n"/>
      <c r="G26" s="14" t="n"/>
      <c r="H26" s="14" t="n"/>
    </row>
    <row r="27">
      <c r="A27" s="15" t="inlineStr">
        <is>
          <t>BO-01</t>
        </is>
      </c>
      <c r="B27" s="15" t="inlineStr">
        <is>
          <t>Untergrund ausgleichen (Ausgleichsmasse)</t>
        </is>
      </c>
      <c r="C27" s="15" t="inlineStr">
        <is>
          <t>Выравнивающая смесь</t>
        </is>
      </c>
      <c r="D27" s="15" t="inlineStr">
        <is>
          <t>m²</t>
        </is>
      </c>
      <c r="E27" s="16" t="n"/>
      <c r="F27" s="5" t="n"/>
      <c r="G27" s="17" t="inlineStr">
        <is>
          <t>0,1–0,2</t>
        </is>
      </c>
      <c r="H27" s="15" t="inlineStr"/>
    </row>
    <row r="28">
      <c r="A28" s="15" t="inlineStr">
        <is>
          <t>BO-02</t>
        </is>
      </c>
      <c r="B28" s="15" t="inlineStr">
        <is>
          <t>Trittschalldämmung verlegen</t>
        </is>
      </c>
      <c r="C28" s="15" t="inlineStr">
        <is>
          <t>Подложка</t>
        </is>
      </c>
      <c r="D28" s="15" t="inlineStr">
        <is>
          <t>m²</t>
        </is>
      </c>
      <c r="E28" s="16" t="n"/>
      <c r="F28" s="5" t="n"/>
      <c r="G28" s="17" t="inlineStr">
        <is>
          <t>0,03–0,06</t>
        </is>
      </c>
      <c r="H28" s="15" t="inlineStr"/>
    </row>
    <row r="29">
      <c r="A29" s="15" t="inlineStr">
        <is>
          <t>BO-03</t>
        </is>
      </c>
      <c r="B29" s="15" t="inlineStr">
        <is>
          <t>Bodenbelag Vinyl (Klick) verlegen</t>
        </is>
      </c>
      <c r="C29" s="15" t="inlineStr">
        <is>
          <t>Укладка винила (клик)</t>
        </is>
      </c>
      <c r="D29" s="15" t="inlineStr">
        <is>
          <t>m²</t>
        </is>
      </c>
      <c r="E29" s="16" t="n"/>
      <c r="F29" s="5" t="n"/>
      <c r="G29" s="17" t="inlineStr">
        <is>
          <t>0,25–0,4</t>
        </is>
      </c>
      <c r="H29" s="15" t="inlineStr"/>
    </row>
    <row r="30">
      <c r="A30" s="15" t="inlineStr">
        <is>
          <t>BO-04</t>
        </is>
      </c>
      <c r="B30" s="15" t="inlineStr">
        <is>
          <t>Bodenbelag Laminat verlegen</t>
        </is>
      </c>
      <c r="C30" s="15" t="inlineStr">
        <is>
          <t>Укладка ламината</t>
        </is>
      </c>
      <c r="D30" s="15" t="inlineStr">
        <is>
          <t>m²</t>
        </is>
      </c>
      <c r="E30" s="16" t="n"/>
      <c r="F30" s="5" t="n"/>
      <c r="G30" s="17" t="inlineStr">
        <is>
          <t>0,25–0,4</t>
        </is>
      </c>
      <c r="H30" s="15" t="inlineStr"/>
    </row>
    <row r="31">
      <c r="A31" s="15" t="inlineStr">
        <is>
          <t>BO-05</t>
        </is>
      </c>
      <c r="B31" s="15" t="inlineStr">
        <is>
          <t>Sockelleisten montieren</t>
        </is>
      </c>
      <c r="C31" s="15" t="inlineStr">
        <is>
          <t>Плинтус</t>
        </is>
      </c>
      <c r="D31" s="15" t="inlineStr">
        <is>
          <t>lfm</t>
        </is>
      </c>
      <c r="E31" s="16" t="n"/>
      <c r="F31" s="5" t="n"/>
      <c r="G31" s="17" t="inlineStr">
        <is>
          <t>0,08–0,15</t>
        </is>
      </c>
      <c r="H31" s="15" t="inlineStr"/>
    </row>
    <row r="32">
      <c r="A32" s="15" t="inlineStr">
        <is>
          <t>BO-06</t>
        </is>
      </c>
      <c r="B32" s="15" t="inlineStr">
        <is>
          <t>Estrich (Zementestrich) einbringen</t>
        </is>
      </c>
      <c r="C32" s="15" t="inlineStr">
        <is>
          <t>Цементная стяжка</t>
        </is>
      </c>
      <c r="D32" s="15" t="inlineStr">
        <is>
          <t>m²</t>
        </is>
      </c>
      <c r="E32" s="16" t="n"/>
      <c r="F32" s="5" t="n"/>
      <c r="G32" s="17" t="inlineStr"/>
      <c r="H32" s="15" t="inlineStr">
        <is>
          <t>часто субподряд — уточнить</t>
        </is>
      </c>
    </row>
    <row r="33">
      <c r="A33" s="13" t="inlineStr">
        <is>
          <t>05 Fliesen</t>
        </is>
      </c>
      <c r="B33" s="14" t="n"/>
      <c r="C33" s="14" t="n"/>
      <c r="D33" s="14" t="n"/>
      <c r="E33" s="14" t="n"/>
      <c r="F33" s="14" t="n"/>
      <c r="G33" s="14" t="n"/>
      <c r="H33" s="14" t="n"/>
    </row>
    <row r="34">
      <c r="A34" s="15" t="inlineStr">
        <is>
          <t>FL-01</t>
        </is>
      </c>
      <c r="B34" s="15" t="inlineStr">
        <is>
          <t>Abdichtung Nassbereich (Verbundabdichtung)</t>
        </is>
      </c>
      <c r="C34" s="15" t="inlineStr">
        <is>
          <t>Гидроизоляция мокрой зоны</t>
        </is>
      </c>
      <c r="D34" s="15" t="inlineStr">
        <is>
          <t>m²</t>
        </is>
      </c>
      <c r="E34" s="16" t="n"/>
      <c r="F34" s="5" t="n"/>
      <c r="G34" s="17" t="inlineStr">
        <is>
          <t>0,2–0,4</t>
        </is>
      </c>
      <c r="H34" s="15" t="inlineStr"/>
    </row>
    <row r="35">
      <c r="A35" s="15" t="inlineStr">
        <is>
          <t>FL-02</t>
        </is>
      </c>
      <c r="B35" s="15" t="inlineStr">
        <is>
          <t>Fliesen Wand verlegen</t>
        </is>
      </c>
      <c r="C35" s="15" t="inlineStr">
        <is>
          <t>Укладка настенной плитки</t>
        </is>
      </c>
      <c r="D35" s="15" t="inlineStr">
        <is>
          <t>m²</t>
        </is>
      </c>
      <c r="E35" s="16" t="n"/>
      <c r="F35" s="5" t="n"/>
      <c r="G35" s="17" t="inlineStr">
        <is>
          <t>1,0–1,5</t>
        </is>
      </c>
      <c r="H35" s="15" t="inlineStr">
        <is>
          <t>формат плитки сильно влияет</t>
        </is>
      </c>
    </row>
    <row r="36">
      <c r="A36" s="15" t="inlineStr">
        <is>
          <t>FL-03</t>
        </is>
      </c>
      <c r="B36" s="15" t="inlineStr">
        <is>
          <t>Fliesen Boden verlegen</t>
        </is>
      </c>
      <c r="C36" s="15" t="inlineStr">
        <is>
          <t>Укладка напольной плитки</t>
        </is>
      </c>
      <c r="D36" s="15" t="inlineStr">
        <is>
          <t>m²</t>
        </is>
      </c>
      <c r="E36" s="16" t="n"/>
      <c r="F36" s="5" t="n"/>
      <c r="G36" s="17" t="inlineStr">
        <is>
          <t>0,8–1,3</t>
        </is>
      </c>
      <c r="H36" s="15" t="inlineStr">
        <is>
          <t>формат плитки сильно влияет</t>
        </is>
      </c>
    </row>
    <row r="37">
      <c r="A37" s="15" t="inlineStr">
        <is>
          <t>FL-04</t>
        </is>
      </c>
      <c r="B37" s="15" t="inlineStr">
        <is>
          <t>Silikonfugen</t>
        </is>
      </c>
      <c r="C37" s="15" t="inlineStr">
        <is>
          <t>Силиконовые швы</t>
        </is>
      </c>
      <c r="D37" s="15" t="inlineStr">
        <is>
          <t>lfm</t>
        </is>
      </c>
      <c r="E37" s="16" t="n"/>
      <c r="F37" s="5" t="n"/>
      <c r="G37" s="17" t="inlineStr">
        <is>
          <t>0,05–0,1</t>
        </is>
      </c>
      <c r="H37" s="15" t="inlineStr"/>
    </row>
    <row r="38">
      <c r="A38" s="13" t="inlineStr">
        <is>
          <t>06 Türen</t>
        </is>
      </c>
      <c r="B38" s="14" t="n"/>
      <c r="C38" s="14" t="n"/>
      <c r="D38" s="14" t="n"/>
      <c r="E38" s="14" t="n"/>
      <c r="F38" s="14" t="n"/>
      <c r="G38" s="14" t="n"/>
      <c r="H38" s="14" t="n"/>
    </row>
    <row r="39">
      <c r="A39" s="15" t="inlineStr">
        <is>
          <t>TU-01</t>
        </is>
      </c>
      <c r="B39" s="15" t="inlineStr">
        <is>
          <t>Innentür inkl. Zarge montieren</t>
        </is>
      </c>
      <c r="C39" s="15" t="inlineStr">
        <is>
          <t>Монтаж межкомнатной двери с коробкой</t>
        </is>
      </c>
      <c r="D39" s="15" t="inlineStr">
        <is>
          <t>Stk</t>
        </is>
      </c>
      <c r="E39" s="16" t="n"/>
      <c r="F39" s="5" t="n"/>
      <c r="G39" s="17" t="inlineStr">
        <is>
          <t>1,5–2,5</t>
        </is>
      </c>
      <c r="H39" s="15" t="inlineStr"/>
    </row>
    <row r="40">
      <c r="A40" s="15" t="inlineStr">
        <is>
          <t>TU-02</t>
        </is>
      </c>
      <c r="B40" s="15" t="inlineStr">
        <is>
          <t>Innentür demontieren</t>
        </is>
      </c>
      <c r="C40" s="15" t="inlineStr">
        <is>
          <t>Демонтаж двери</t>
        </is>
      </c>
      <c r="D40" s="15" t="inlineStr">
        <is>
          <t>Stk</t>
        </is>
      </c>
      <c r="E40" s="16" t="n"/>
      <c r="F40" s="5" t="n"/>
      <c r="G40" s="17" t="inlineStr">
        <is>
          <t>0,3–0,6</t>
        </is>
      </c>
      <c r="H40" s="15" t="inlineStr"/>
    </row>
    <row r="41">
      <c r="A41" s="13" t="inlineStr">
        <is>
          <t>07 Sonstiges</t>
        </is>
      </c>
      <c r="B41" s="14" t="n"/>
      <c r="C41" s="14" t="n"/>
      <c r="D41" s="14" t="n"/>
      <c r="E41" s="14" t="n"/>
      <c r="F41" s="14" t="n"/>
      <c r="G41" s="14" t="n"/>
      <c r="H41" s="14" t="n"/>
    </row>
    <row r="42">
      <c r="A42" s="15" t="inlineStr">
        <is>
          <t>SO-01</t>
        </is>
      </c>
      <c r="B42" s="15" t="inlineStr">
        <is>
          <t>Baustelleneinrichtung / Endreinigung</t>
        </is>
      </c>
      <c r="C42" s="15" t="inlineStr">
        <is>
          <t>Подготовка объекта / финальная уборка</t>
        </is>
      </c>
      <c r="D42" s="15" t="inlineStr">
        <is>
          <t>psch</t>
        </is>
      </c>
      <c r="E42" s="16" t="n"/>
      <c r="F42" s="5" t="n"/>
      <c r="G42" s="17" t="inlineStr"/>
      <c r="H42" s="15" t="inlineStr">
        <is>
          <t>паушально — часы на объект</t>
        </is>
      </c>
    </row>
    <row r="43">
      <c r="A43" s="13" t="inlineStr">
        <is>
          <t>99 Свои позиции владельца (дописать)</t>
        </is>
      </c>
      <c r="B43" s="14" t="n"/>
      <c r="C43" s="14" t="n"/>
      <c r="D43" s="14" t="n"/>
      <c r="E43" s="14" t="n"/>
      <c r="F43" s="14" t="n"/>
      <c r="G43" s="14" t="n"/>
      <c r="H43" s="14" t="n"/>
    </row>
    <row r="44">
      <c r="A44" s="15" t="n"/>
      <c r="B44" s="18" t="n"/>
      <c r="C44" s="15" t="n"/>
      <c r="D44" s="18" t="n"/>
      <c r="E44" s="16" t="n"/>
      <c r="F44" s="5" t="n"/>
      <c r="G44" s="15" t="n"/>
      <c r="H44" s="15" t="n"/>
    </row>
    <row r="45">
      <c r="A45" s="15" t="n"/>
      <c r="B45" s="18" t="n"/>
      <c r="C45" s="15" t="n"/>
      <c r="D45" s="18" t="n"/>
      <c r="E45" s="16" t="n"/>
      <c r="F45" s="5" t="n"/>
      <c r="G45" s="15" t="n"/>
      <c r="H45" s="15" t="n"/>
    </row>
    <row r="46">
      <c r="A46" s="15" t="n"/>
      <c r="B46" s="18" t="n"/>
      <c r="C46" s="15" t="n"/>
      <c r="D46" s="18" t="n"/>
      <c r="E46" s="16" t="n"/>
      <c r="F46" s="5" t="n"/>
      <c r="G46" s="15" t="n"/>
      <c r="H46" s="15" t="n"/>
    </row>
    <row r="47">
      <c r="A47" s="15" t="n"/>
      <c r="B47" s="18" t="n"/>
      <c r="C47" s="15" t="n"/>
      <c r="D47" s="18" t="n"/>
      <c r="E47" s="16" t="n"/>
      <c r="F47" s="5" t="n"/>
      <c r="G47" s="15" t="n"/>
      <c r="H47" s="15" t="n"/>
    </row>
    <row r="48">
      <c r="A48" s="15" t="n"/>
      <c r="B48" s="18" t="n"/>
      <c r="C48" s="15" t="n"/>
      <c r="D48" s="18" t="n"/>
      <c r="E48" s="16" t="n"/>
      <c r="F48" s="5" t="n"/>
      <c r="G48" s="15" t="n"/>
      <c r="H48" s="15" t="n"/>
    </row>
    <row r="49">
      <c r="A49" s="15" t="n"/>
      <c r="B49" s="18" t="n"/>
      <c r="C49" s="15" t="n"/>
      <c r="D49" s="18" t="n"/>
      <c r="E49" s="16" t="n"/>
      <c r="F49" s="5" t="n"/>
      <c r="G49" s="15" t="n"/>
      <c r="H49" s="15" t="n"/>
    </row>
    <row r="50">
      <c r="A50" s="15" t="n"/>
      <c r="B50" s="18" t="n"/>
      <c r="C50" s="15" t="n"/>
      <c r="D50" s="18" t="n"/>
      <c r="E50" s="16" t="n"/>
      <c r="F50" s="5" t="n"/>
      <c r="G50" s="15" t="n"/>
      <c r="H50" s="15" t="n"/>
    </row>
    <row r="51">
      <c r="A51" s="15" t="n"/>
      <c r="B51" s="18" t="n"/>
      <c r="C51" s="15" t="n"/>
      <c r="D51" s="18" t="n"/>
      <c r="E51" s="16" t="n"/>
      <c r="F51" s="5" t="n"/>
      <c r="G51" s="15" t="n"/>
      <c r="H51" s="15" t="n"/>
    </row>
    <row r="52">
      <c r="A52" s="15" t="n"/>
      <c r="B52" s="18" t="n"/>
      <c r="C52" s="15" t="n"/>
      <c r="D52" s="18" t="n"/>
      <c r="E52" s="16" t="n"/>
      <c r="F52" s="5" t="n"/>
      <c r="G52" s="15" t="n"/>
      <c r="H52" s="15" t="n"/>
    </row>
    <row r="53">
      <c r="A53" s="15" t="n"/>
      <c r="B53" s="18" t="n"/>
      <c r="C53" s="15" t="n"/>
      <c r="D53" s="18" t="n"/>
      <c r="E53" s="16" t="n"/>
      <c r="F53" s="5" t="n"/>
      <c r="G53" s="15" t="n"/>
      <c r="H53" s="15" t="n"/>
    </row>
    <row r="55">
      <c r="A55" s="2" t="inlineStr">
        <is>
          <t>Einheit: m² — квадратный метр, lfm — погонный метр, Stk — штука, m³ — кубометр, psch — паушально (1 на объект).</t>
        </is>
      </c>
    </row>
    <row r="56">
      <c r="A56" s="19" t="inlineStr">
        <is>
          <t>Столбец G «ориентир, проверить по своему опыту» — грубые диапазоны для Норддойчланд, не нормы и не цены; в расчёт идёт только жёлтый столбец 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8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3" customWidth="1" min="8" max="8"/>
    <col width="12" customWidth="1" min="9" max="9"/>
    <col width="18" customWidth="1" min="10" max="10"/>
    <col width="14" customWidth="1" min="11" max="11"/>
    <col width="13" customWidth="1" min="12" max="12"/>
    <col width="14" customWidth="1" min="13" max="13"/>
    <col width="12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Расчёт / Kalkulation</t>
        </is>
      </c>
    </row>
    <row r="2">
      <c r="A2" s="6" t="inlineStr">
        <is>
          <t>Объект / Bauvorhaben:</t>
        </is>
      </c>
      <c r="C2" s="20" t="n"/>
    </row>
    <row r="3">
      <c r="A3" s="2" t="inlineStr">
        <is>
          <t>Выбрать позицию в столбце B (список), ввести количество (D) и тип ставки (E). Остальное считается само. «нет ставки» = не заполнена ставка/норма/цена на листах «Ставки» или «Позиции».</t>
        </is>
      </c>
    </row>
    <row r="5" ht="60" customHeight="1">
      <c r="A5" s="3" t="inlineStr">
        <is>
          <t>Nr</t>
        </is>
      </c>
      <c r="B5" s="3" t="inlineStr">
        <is>
          <t>Position (из списка «Позиции»)</t>
        </is>
      </c>
      <c r="C5" s="3" t="inlineStr">
        <is>
          <t>Einheit</t>
        </is>
      </c>
      <c r="D5" s="3" t="inlineStr">
        <is>
          <t>Menge</t>
        </is>
      </c>
      <c r="E5" s="3" t="inlineStr">
        <is>
          <t>Lohnart
Geselle/Meister</t>
        </is>
      </c>
      <c r="F5" s="3" t="inlineStr">
        <is>
          <t>Zeit h/Einheit</t>
        </is>
      </c>
      <c r="G5" s="3" t="inlineStr">
        <is>
          <t>Stundensatz €/h</t>
        </is>
      </c>
      <c r="H5" s="3" t="inlineStr">
        <is>
          <t>Lohn €
= Menge×h×Satz</t>
        </is>
      </c>
      <c r="I5" s="3" t="inlineStr">
        <is>
          <t>Material €/Einheit</t>
        </is>
      </c>
      <c r="J5" s="3" t="inlineStr">
        <is>
          <t>Material € inkl. Aufschlag
= Menge×Preis×(1+Aufschlag)</t>
        </is>
      </c>
      <c r="K5" s="3" t="inlineStr">
        <is>
          <t>Einzelkosten €
(Lohn+Material)</t>
        </is>
      </c>
      <c r="L5" s="3" t="inlineStr">
        <is>
          <t>Gemeinkosten €</t>
        </is>
      </c>
      <c r="M5" s="3" t="inlineStr">
        <is>
          <t>Selbstkosten €</t>
        </is>
      </c>
      <c r="N5" s="3" t="inlineStr">
        <is>
          <t>Wagnis €</t>
        </is>
      </c>
      <c r="O5" s="3" t="inlineStr">
        <is>
          <t>Gewinn €</t>
        </is>
      </c>
      <c r="P5" s="3" t="inlineStr">
        <is>
          <t>Netto €
(Angebotspreis)</t>
        </is>
      </c>
      <c r="Q5" s="3" t="inlineStr">
        <is>
          <t>Einheitspreis €
(netto)</t>
        </is>
      </c>
    </row>
    <row r="6">
      <c r="A6" s="15" t="n">
        <v>1</v>
      </c>
      <c r="B6" s="18" t="inlineStr">
        <is>
          <t>Trockenbau Wand CW/UW 75, 2-lagig beplankt, inkl. Dämmung</t>
        </is>
      </c>
      <c r="C6" s="15">
        <f>IF($B6="","",IFERROR(INDEX('Позиции'!$D$5:$D$53,MATCH($B6,'Позиции'!$B$5:$B$53,0)),""))</f>
        <v/>
      </c>
      <c r="D6" s="21" t="n">
        <v>25</v>
      </c>
      <c r="E6" s="18" t="inlineStr">
        <is>
          <t>Geselle</t>
        </is>
      </c>
      <c r="F6" s="22">
        <f>IF($B6="","",IFERROR(IF(INDEX('Позиции'!$E$5:$E$53,MATCH($B6,'Позиции'!$B$5:$B$53,0))="","нет ставки",INDEX('Позиции'!$E$5:$E$53,MATCH($B6,'Позиции'!$B$5:$B$53,0))),"нет ставки"))</f>
        <v/>
      </c>
      <c r="G6" s="23">
        <f>IF($B6="","",IF($E6="Meister",IF(ISBLANK('Ставки'!$B$5),"нет ставки",'Ставки'!$B$5),IF(ISBLANK('Ставки'!$B$4),"нет ставки",'Ставки'!$B$4)))</f>
        <v/>
      </c>
      <c r="H6" s="23">
        <f>IF($B6="","",IF(AND(ISNUMBER($D6),ISNUMBER($F6),ISNUMBER($G6)),$D6*$F6*$G6,"нет ставки"))</f>
        <v/>
      </c>
      <c r="I6" s="23">
        <f>IF($B6="","",IFERROR(IF(INDEX('Позиции'!$F$5:$F$53,MATCH($B6,'Позиции'!$B$5:$B$53,0))="","нет ставки",INDEX('Позиции'!$F$5:$F$53,MATCH($B6,'Позиции'!$B$5:$B$53,0))),"нет ставки"))</f>
        <v/>
      </c>
      <c r="J6" s="23">
        <f>IF($B6="","",IF(AND(ISNUMBER($D6),ISNUMBER($I6),NOT(ISBLANK('Ставки'!$B$6))),$D6*$I6*(1+'Ставки'!$B$6),"нет ставки"))</f>
        <v/>
      </c>
      <c r="K6" s="23">
        <f>IF($B6="","",IF(AND(ISNUMBER($H6),ISNUMBER($J6)),$H6+$J6,"нет ставки"))</f>
        <v/>
      </c>
      <c r="L6" s="23">
        <f>IF($B6="","",IF(AND(ISNUMBER($K6),NOT(ISBLANK('Ставки'!$B$7))),$K6*'Ставки'!$B$7,"нет ставки"))</f>
        <v/>
      </c>
      <c r="M6" s="23">
        <f>IF($B6="","",IF(AND(ISNUMBER($K6),ISNUMBER($L6)),$K6+$L6,"нет ставки"))</f>
        <v/>
      </c>
      <c r="N6" s="23">
        <f>IF($B6="","",IF(AND(ISNUMBER($M6),NOT(ISBLANK('Ставки'!$B$8))),$M6*'Ставки'!$B$8,"нет ставки"))</f>
        <v/>
      </c>
      <c r="O6" s="23">
        <f>IF($B6="","",IF(AND(ISNUMBER($M6),NOT(ISBLANK('Ставки'!$B$9))),$M6*'Ставки'!$B$9,"нет ставки"))</f>
        <v/>
      </c>
      <c r="P6" s="23">
        <f>IF($B6="","",IF(AND(ISNUMBER($M6),ISNUMBER($N6),ISNUMBER($O6)),$M6+$N6+$O6,"нет ставки"))</f>
        <v/>
      </c>
      <c r="Q6" s="23">
        <f>IF($B6="","",IF(AND(ISNUMBER($P6),ISNUMBER($D6)),IF($D6=0,"нет ставки",$P6/$D6),"нет ставки"))</f>
        <v/>
      </c>
    </row>
    <row r="7">
      <c r="A7" s="15" t="n">
        <v>2</v>
      </c>
      <c r="B7" s="18" t="n"/>
      <c r="C7" s="15">
        <f>IF($B7="","",IFERROR(INDEX('Позиции'!$D$5:$D$53,MATCH($B7,'Позиции'!$B$5:$B$53,0)),""))</f>
        <v/>
      </c>
      <c r="D7" s="21" t="n"/>
      <c r="E7" s="18" t="inlineStr">
        <is>
          <t>Geselle</t>
        </is>
      </c>
      <c r="F7" s="22">
        <f>IF($B7="","",IFERROR(IF(INDEX('Позиции'!$E$5:$E$53,MATCH($B7,'Позиции'!$B$5:$B$53,0))="","нет ставки",INDEX('Позиции'!$E$5:$E$53,MATCH($B7,'Позиции'!$B$5:$B$53,0))),"нет ставки"))</f>
        <v/>
      </c>
      <c r="G7" s="23">
        <f>IF($B7="","",IF($E7="Meister",IF(ISBLANK('Ставки'!$B$5),"нет ставки",'Ставки'!$B$5),IF(ISBLANK('Ставки'!$B$4),"нет ставки",'Ставки'!$B$4)))</f>
        <v/>
      </c>
      <c r="H7" s="23">
        <f>IF($B7="","",IF(AND(ISNUMBER($D7),ISNUMBER($F7),ISNUMBER($G7)),$D7*$F7*$G7,"нет ставки"))</f>
        <v/>
      </c>
      <c r="I7" s="23">
        <f>IF($B7="","",IFERROR(IF(INDEX('Позиции'!$F$5:$F$53,MATCH($B7,'Позиции'!$B$5:$B$53,0))="","нет ставки",INDEX('Позиции'!$F$5:$F$53,MATCH($B7,'Позиции'!$B$5:$B$53,0))),"нет ставки"))</f>
        <v/>
      </c>
      <c r="J7" s="23">
        <f>IF($B7="","",IF(AND(ISNUMBER($D7),ISNUMBER($I7),NOT(ISBLANK('Ставки'!$B$6))),$D7*$I7*(1+'Ставки'!$B$6),"нет ставки"))</f>
        <v/>
      </c>
      <c r="K7" s="23">
        <f>IF($B7="","",IF(AND(ISNUMBER($H7),ISNUMBER($J7)),$H7+$J7,"нет ставки"))</f>
        <v/>
      </c>
      <c r="L7" s="23">
        <f>IF($B7="","",IF(AND(ISNUMBER($K7),NOT(ISBLANK('Ставки'!$B$7))),$K7*'Ставки'!$B$7,"нет ставки"))</f>
        <v/>
      </c>
      <c r="M7" s="23">
        <f>IF($B7="","",IF(AND(ISNUMBER($K7),ISNUMBER($L7)),$K7+$L7,"нет ставки"))</f>
        <v/>
      </c>
      <c r="N7" s="23">
        <f>IF($B7="","",IF(AND(ISNUMBER($M7),NOT(ISBLANK('Ставки'!$B$8))),$M7*'Ставки'!$B$8,"нет ставки"))</f>
        <v/>
      </c>
      <c r="O7" s="23">
        <f>IF($B7="","",IF(AND(ISNUMBER($M7),NOT(ISBLANK('Ставки'!$B$9))),$M7*'Ставки'!$B$9,"нет ставки"))</f>
        <v/>
      </c>
      <c r="P7" s="23">
        <f>IF($B7="","",IF(AND(ISNUMBER($M7),ISNUMBER($N7),ISNUMBER($O7)),$M7+$N7+$O7,"нет ставки"))</f>
        <v/>
      </c>
      <c r="Q7" s="23">
        <f>IF($B7="","",IF(AND(ISNUMBER($P7),ISNUMBER($D7)),IF($D7=0,"нет ставки",$P7/$D7),"нет ставки"))</f>
        <v/>
      </c>
    </row>
    <row r="8">
      <c r="A8" s="15" t="n">
        <v>3</v>
      </c>
      <c r="B8" s="18" t="n"/>
      <c r="C8" s="15">
        <f>IF($B8="","",IFERROR(INDEX('Позиции'!$D$5:$D$53,MATCH($B8,'Позиции'!$B$5:$B$53,0)),""))</f>
        <v/>
      </c>
      <c r="D8" s="21" t="n"/>
      <c r="E8" s="18" t="inlineStr">
        <is>
          <t>Geselle</t>
        </is>
      </c>
      <c r="F8" s="22">
        <f>IF($B8="","",IFERROR(IF(INDEX('Позиции'!$E$5:$E$53,MATCH($B8,'Позиции'!$B$5:$B$53,0))="","нет ставки",INDEX('Позиции'!$E$5:$E$53,MATCH($B8,'Позиции'!$B$5:$B$53,0))),"нет ставки"))</f>
        <v/>
      </c>
      <c r="G8" s="23">
        <f>IF($B8="","",IF($E8="Meister",IF(ISBLANK('Ставки'!$B$5),"нет ставки",'Ставки'!$B$5),IF(ISBLANK('Ставки'!$B$4),"нет ставки",'Ставки'!$B$4)))</f>
        <v/>
      </c>
      <c r="H8" s="23">
        <f>IF($B8="","",IF(AND(ISNUMBER($D8),ISNUMBER($F8),ISNUMBER($G8)),$D8*$F8*$G8,"нет ставки"))</f>
        <v/>
      </c>
      <c r="I8" s="23">
        <f>IF($B8="","",IFERROR(IF(INDEX('Позиции'!$F$5:$F$53,MATCH($B8,'Позиции'!$B$5:$B$53,0))="","нет ставки",INDEX('Позиции'!$F$5:$F$53,MATCH($B8,'Позиции'!$B$5:$B$53,0))),"нет ставки"))</f>
        <v/>
      </c>
      <c r="J8" s="23">
        <f>IF($B8="","",IF(AND(ISNUMBER($D8),ISNUMBER($I8),NOT(ISBLANK('Ставки'!$B$6))),$D8*$I8*(1+'Ставки'!$B$6),"нет ставки"))</f>
        <v/>
      </c>
      <c r="K8" s="23">
        <f>IF($B8="","",IF(AND(ISNUMBER($H8),ISNUMBER($J8)),$H8+$J8,"нет ставки"))</f>
        <v/>
      </c>
      <c r="L8" s="23">
        <f>IF($B8="","",IF(AND(ISNUMBER($K8),NOT(ISBLANK('Ставки'!$B$7))),$K8*'Ставки'!$B$7,"нет ставки"))</f>
        <v/>
      </c>
      <c r="M8" s="23">
        <f>IF($B8="","",IF(AND(ISNUMBER($K8),ISNUMBER($L8)),$K8+$L8,"нет ставки"))</f>
        <v/>
      </c>
      <c r="N8" s="23">
        <f>IF($B8="","",IF(AND(ISNUMBER($M8),NOT(ISBLANK('Ставки'!$B$8))),$M8*'Ставки'!$B$8,"нет ставки"))</f>
        <v/>
      </c>
      <c r="O8" s="23">
        <f>IF($B8="","",IF(AND(ISNUMBER($M8),NOT(ISBLANK('Ставки'!$B$9))),$M8*'Ставки'!$B$9,"нет ставки"))</f>
        <v/>
      </c>
      <c r="P8" s="23">
        <f>IF($B8="","",IF(AND(ISNUMBER($M8),ISNUMBER($N8),ISNUMBER($O8)),$M8+$N8+$O8,"нет ставки"))</f>
        <v/>
      </c>
      <c r="Q8" s="23">
        <f>IF($B8="","",IF(AND(ISNUMBER($P8),ISNUMBER($D8)),IF($D8=0,"нет ставки",$P8/$D8),"нет ставки"))</f>
        <v/>
      </c>
    </row>
    <row r="9">
      <c r="A9" s="15" t="n">
        <v>4</v>
      </c>
      <c r="B9" s="18" t="n"/>
      <c r="C9" s="15">
        <f>IF($B9="","",IFERROR(INDEX('Позиции'!$D$5:$D$53,MATCH($B9,'Позиции'!$B$5:$B$53,0)),""))</f>
        <v/>
      </c>
      <c r="D9" s="21" t="n"/>
      <c r="E9" s="18" t="inlineStr">
        <is>
          <t>Geselle</t>
        </is>
      </c>
      <c r="F9" s="22">
        <f>IF($B9="","",IFERROR(IF(INDEX('Позиции'!$E$5:$E$53,MATCH($B9,'Позиции'!$B$5:$B$53,0))="","нет ставки",INDEX('Позиции'!$E$5:$E$53,MATCH($B9,'Позиции'!$B$5:$B$53,0))),"нет ставки"))</f>
        <v/>
      </c>
      <c r="G9" s="23">
        <f>IF($B9="","",IF($E9="Meister",IF(ISBLANK('Ставки'!$B$5),"нет ставки",'Ставки'!$B$5),IF(ISBLANK('Ставки'!$B$4),"нет ставки",'Ставки'!$B$4)))</f>
        <v/>
      </c>
      <c r="H9" s="23">
        <f>IF($B9="","",IF(AND(ISNUMBER($D9),ISNUMBER($F9),ISNUMBER($G9)),$D9*$F9*$G9,"нет ставки"))</f>
        <v/>
      </c>
      <c r="I9" s="23">
        <f>IF($B9="","",IFERROR(IF(INDEX('Позиции'!$F$5:$F$53,MATCH($B9,'Позиции'!$B$5:$B$53,0))="","нет ставки",INDEX('Позиции'!$F$5:$F$53,MATCH($B9,'Позиции'!$B$5:$B$53,0))),"нет ставки"))</f>
        <v/>
      </c>
      <c r="J9" s="23">
        <f>IF($B9="","",IF(AND(ISNUMBER($D9),ISNUMBER($I9),NOT(ISBLANK('Ставки'!$B$6))),$D9*$I9*(1+'Ставки'!$B$6),"нет ставки"))</f>
        <v/>
      </c>
      <c r="K9" s="23">
        <f>IF($B9="","",IF(AND(ISNUMBER($H9),ISNUMBER($J9)),$H9+$J9,"нет ставки"))</f>
        <v/>
      </c>
      <c r="L9" s="23">
        <f>IF($B9="","",IF(AND(ISNUMBER($K9),NOT(ISBLANK('Ставки'!$B$7))),$K9*'Ставки'!$B$7,"нет ставки"))</f>
        <v/>
      </c>
      <c r="M9" s="23">
        <f>IF($B9="","",IF(AND(ISNUMBER($K9),ISNUMBER($L9)),$K9+$L9,"нет ставки"))</f>
        <v/>
      </c>
      <c r="N9" s="23">
        <f>IF($B9="","",IF(AND(ISNUMBER($M9),NOT(ISBLANK('Ставки'!$B$8))),$M9*'Ставки'!$B$8,"нет ставки"))</f>
        <v/>
      </c>
      <c r="O9" s="23">
        <f>IF($B9="","",IF(AND(ISNUMBER($M9),NOT(ISBLANK('Ставки'!$B$9))),$M9*'Ставки'!$B$9,"нет ставки"))</f>
        <v/>
      </c>
      <c r="P9" s="23">
        <f>IF($B9="","",IF(AND(ISNUMBER($M9),ISNUMBER($N9),ISNUMBER($O9)),$M9+$N9+$O9,"нет ставки"))</f>
        <v/>
      </c>
      <c r="Q9" s="23">
        <f>IF($B9="","",IF(AND(ISNUMBER($P9),ISNUMBER($D9)),IF($D9=0,"нет ставки",$P9/$D9),"нет ставки"))</f>
        <v/>
      </c>
    </row>
    <row r="10">
      <c r="A10" s="15" t="n">
        <v>5</v>
      </c>
      <c r="B10" s="18" t="n"/>
      <c r="C10" s="15">
        <f>IF($B10="","",IFERROR(INDEX('Позиции'!$D$5:$D$53,MATCH($B10,'Позиции'!$B$5:$B$53,0)),""))</f>
        <v/>
      </c>
      <c r="D10" s="21" t="n"/>
      <c r="E10" s="18" t="inlineStr">
        <is>
          <t>Geselle</t>
        </is>
      </c>
      <c r="F10" s="22">
        <f>IF($B10="","",IFERROR(IF(INDEX('Позиции'!$E$5:$E$53,MATCH($B10,'Позиции'!$B$5:$B$53,0))="","нет ставки",INDEX('Позиции'!$E$5:$E$53,MATCH($B10,'Позиции'!$B$5:$B$53,0))),"нет ставки"))</f>
        <v/>
      </c>
      <c r="G10" s="23">
        <f>IF($B10="","",IF($E10="Meister",IF(ISBLANK('Ставки'!$B$5),"нет ставки",'Ставки'!$B$5),IF(ISBLANK('Ставки'!$B$4),"нет ставки",'Ставки'!$B$4)))</f>
        <v/>
      </c>
      <c r="H10" s="23">
        <f>IF($B10="","",IF(AND(ISNUMBER($D10),ISNUMBER($F10),ISNUMBER($G10)),$D10*$F10*$G10,"нет ставки"))</f>
        <v/>
      </c>
      <c r="I10" s="23">
        <f>IF($B10="","",IFERROR(IF(INDEX('Позиции'!$F$5:$F$53,MATCH($B10,'Позиции'!$B$5:$B$53,0))="","нет ставки",INDEX('Позиции'!$F$5:$F$53,MATCH($B10,'Позиции'!$B$5:$B$53,0))),"нет ставки"))</f>
        <v/>
      </c>
      <c r="J10" s="23">
        <f>IF($B10="","",IF(AND(ISNUMBER($D10),ISNUMBER($I10),NOT(ISBLANK('Ставки'!$B$6))),$D10*$I10*(1+'Ставки'!$B$6),"нет ставки"))</f>
        <v/>
      </c>
      <c r="K10" s="23">
        <f>IF($B10="","",IF(AND(ISNUMBER($H10),ISNUMBER($J10)),$H10+$J10,"нет ставки"))</f>
        <v/>
      </c>
      <c r="L10" s="23">
        <f>IF($B10="","",IF(AND(ISNUMBER($K10),NOT(ISBLANK('Ставки'!$B$7))),$K10*'Ставки'!$B$7,"нет ставки"))</f>
        <v/>
      </c>
      <c r="M10" s="23">
        <f>IF($B10="","",IF(AND(ISNUMBER($K10),ISNUMBER($L10)),$K10+$L10,"нет ставки"))</f>
        <v/>
      </c>
      <c r="N10" s="23">
        <f>IF($B10="","",IF(AND(ISNUMBER($M10),NOT(ISBLANK('Ставки'!$B$8))),$M10*'Ставки'!$B$8,"нет ставки"))</f>
        <v/>
      </c>
      <c r="O10" s="23">
        <f>IF($B10="","",IF(AND(ISNUMBER($M10),NOT(ISBLANK('Ставки'!$B$9))),$M10*'Ставки'!$B$9,"нет ставки"))</f>
        <v/>
      </c>
      <c r="P10" s="23">
        <f>IF($B10="","",IF(AND(ISNUMBER($M10),ISNUMBER($N10),ISNUMBER($O10)),$M10+$N10+$O10,"нет ставки"))</f>
        <v/>
      </c>
      <c r="Q10" s="23">
        <f>IF($B10="","",IF(AND(ISNUMBER($P10),ISNUMBER($D10)),IF($D10=0,"нет ставки",$P10/$D10),"нет ставки"))</f>
        <v/>
      </c>
    </row>
    <row r="11">
      <c r="A11" s="15" t="n">
        <v>6</v>
      </c>
      <c r="B11" s="18" t="n"/>
      <c r="C11" s="15">
        <f>IF($B11="","",IFERROR(INDEX('Позиции'!$D$5:$D$53,MATCH($B11,'Позиции'!$B$5:$B$53,0)),""))</f>
        <v/>
      </c>
      <c r="D11" s="21" t="n"/>
      <c r="E11" s="18" t="inlineStr">
        <is>
          <t>Geselle</t>
        </is>
      </c>
      <c r="F11" s="22">
        <f>IF($B11="","",IFERROR(IF(INDEX('Позиции'!$E$5:$E$53,MATCH($B11,'Позиции'!$B$5:$B$53,0))="","нет ставки",INDEX('Позиции'!$E$5:$E$53,MATCH($B11,'Позиции'!$B$5:$B$53,0))),"нет ставки"))</f>
        <v/>
      </c>
      <c r="G11" s="23">
        <f>IF($B11="","",IF($E11="Meister",IF(ISBLANK('Ставки'!$B$5),"нет ставки",'Ставки'!$B$5),IF(ISBLANK('Ставки'!$B$4),"нет ставки",'Ставки'!$B$4)))</f>
        <v/>
      </c>
      <c r="H11" s="23">
        <f>IF($B11="","",IF(AND(ISNUMBER($D11),ISNUMBER($F11),ISNUMBER($G11)),$D11*$F11*$G11,"нет ставки"))</f>
        <v/>
      </c>
      <c r="I11" s="23">
        <f>IF($B11="","",IFERROR(IF(INDEX('Позиции'!$F$5:$F$53,MATCH($B11,'Позиции'!$B$5:$B$53,0))="","нет ставки",INDEX('Позиции'!$F$5:$F$53,MATCH($B11,'Позиции'!$B$5:$B$53,0))),"нет ставки"))</f>
        <v/>
      </c>
      <c r="J11" s="23">
        <f>IF($B11="","",IF(AND(ISNUMBER($D11),ISNUMBER($I11),NOT(ISBLANK('Ставки'!$B$6))),$D11*$I11*(1+'Ставки'!$B$6),"нет ставки"))</f>
        <v/>
      </c>
      <c r="K11" s="23">
        <f>IF($B11="","",IF(AND(ISNUMBER($H11),ISNUMBER($J11)),$H11+$J11,"нет ставки"))</f>
        <v/>
      </c>
      <c r="L11" s="23">
        <f>IF($B11="","",IF(AND(ISNUMBER($K11),NOT(ISBLANK('Ставки'!$B$7))),$K11*'Ставки'!$B$7,"нет ставки"))</f>
        <v/>
      </c>
      <c r="M11" s="23">
        <f>IF($B11="","",IF(AND(ISNUMBER($K11),ISNUMBER($L11)),$K11+$L11,"нет ставки"))</f>
        <v/>
      </c>
      <c r="N11" s="23">
        <f>IF($B11="","",IF(AND(ISNUMBER($M11),NOT(ISBLANK('Ставки'!$B$8))),$M11*'Ставки'!$B$8,"нет ставки"))</f>
        <v/>
      </c>
      <c r="O11" s="23">
        <f>IF($B11="","",IF(AND(ISNUMBER($M11),NOT(ISBLANK('Ставки'!$B$9))),$M11*'Ставки'!$B$9,"нет ставки"))</f>
        <v/>
      </c>
      <c r="P11" s="23">
        <f>IF($B11="","",IF(AND(ISNUMBER($M11),ISNUMBER($N11),ISNUMBER($O11)),$M11+$N11+$O11,"нет ставки"))</f>
        <v/>
      </c>
      <c r="Q11" s="23">
        <f>IF($B11="","",IF(AND(ISNUMBER($P11),ISNUMBER($D11)),IF($D11=0,"нет ставки",$P11/$D11),"нет ставки"))</f>
        <v/>
      </c>
    </row>
    <row r="12">
      <c r="A12" s="15" t="n">
        <v>7</v>
      </c>
      <c r="B12" s="18" t="n"/>
      <c r="C12" s="15">
        <f>IF($B12="","",IFERROR(INDEX('Позиции'!$D$5:$D$53,MATCH($B12,'Позиции'!$B$5:$B$53,0)),""))</f>
        <v/>
      </c>
      <c r="D12" s="21" t="n"/>
      <c r="E12" s="18" t="inlineStr">
        <is>
          <t>Geselle</t>
        </is>
      </c>
      <c r="F12" s="22">
        <f>IF($B12="","",IFERROR(IF(INDEX('Позиции'!$E$5:$E$53,MATCH($B12,'Позиции'!$B$5:$B$53,0))="","нет ставки",INDEX('Позиции'!$E$5:$E$53,MATCH($B12,'Позиции'!$B$5:$B$53,0))),"нет ставки"))</f>
        <v/>
      </c>
      <c r="G12" s="23">
        <f>IF($B12="","",IF($E12="Meister",IF(ISBLANK('Ставки'!$B$5),"нет ставки",'Ставки'!$B$5),IF(ISBLANK('Ставки'!$B$4),"нет ставки",'Ставки'!$B$4)))</f>
        <v/>
      </c>
      <c r="H12" s="23">
        <f>IF($B12="","",IF(AND(ISNUMBER($D12),ISNUMBER($F12),ISNUMBER($G12)),$D12*$F12*$G12,"нет ставки"))</f>
        <v/>
      </c>
      <c r="I12" s="23">
        <f>IF($B12="","",IFERROR(IF(INDEX('Позиции'!$F$5:$F$53,MATCH($B12,'Позиции'!$B$5:$B$53,0))="","нет ставки",INDEX('Позиции'!$F$5:$F$53,MATCH($B12,'Позиции'!$B$5:$B$53,0))),"нет ставки"))</f>
        <v/>
      </c>
      <c r="J12" s="23">
        <f>IF($B12="","",IF(AND(ISNUMBER($D12),ISNUMBER($I12),NOT(ISBLANK('Ставки'!$B$6))),$D12*$I12*(1+'Ставки'!$B$6),"нет ставки"))</f>
        <v/>
      </c>
      <c r="K12" s="23">
        <f>IF($B12="","",IF(AND(ISNUMBER($H12),ISNUMBER($J12)),$H12+$J12,"нет ставки"))</f>
        <v/>
      </c>
      <c r="L12" s="23">
        <f>IF($B12="","",IF(AND(ISNUMBER($K12),NOT(ISBLANK('Ставки'!$B$7))),$K12*'Ставки'!$B$7,"нет ставки"))</f>
        <v/>
      </c>
      <c r="M12" s="23">
        <f>IF($B12="","",IF(AND(ISNUMBER($K12),ISNUMBER($L12)),$K12+$L12,"нет ставки"))</f>
        <v/>
      </c>
      <c r="N12" s="23">
        <f>IF($B12="","",IF(AND(ISNUMBER($M12),NOT(ISBLANK('Ставки'!$B$8))),$M12*'Ставки'!$B$8,"нет ставки"))</f>
        <v/>
      </c>
      <c r="O12" s="23">
        <f>IF($B12="","",IF(AND(ISNUMBER($M12),NOT(ISBLANK('Ставки'!$B$9))),$M12*'Ставки'!$B$9,"нет ставки"))</f>
        <v/>
      </c>
      <c r="P12" s="23">
        <f>IF($B12="","",IF(AND(ISNUMBER($M12),ISNUMBER($N12),ISNUMBER($O12)),$M12+$N12+$O12,"нет ставки"))</f>
        <v/>
      </c>
      <c r="Q12" s="23">
        <f>IF($B12="","",IF(AND(ISNUMBER($P12),ISNUMBER($D12)),IF($D12=0,"нет ставки",$P12/$D12),"нет ставки"))</f>
        <v/>
      </c>
    </row>
    <row r="13">
      <c r="A13" s="15" t="n">
        <v>8</v>
      </c>
      <c r="B13" s="18" t="n"/>
      <c r="C13" s="15">
        <f>IF($B13="","",IFERROR(INDEX('Позиции'!$D$5:$D$53,MATCH($B13,'Позиции'!$B$5:$B$53,0)),""))</f>
        <v/>
      </c>
      <c r="D13" s="21" t="n"/>
      <c r="E13" s="18" t="inlineStr">
        <is>
          <t>Geselle</t>
        </is>
      </c>
      <c r="F13" s="22">
        <f>IF($B13="","",IFERROR(IF(INDEX('Позиции'!$E$5:$E$53,MATCH($B13,'Позиции'!$B$5:$B$53,0))="","нет ставки",INDEX('Позиции'!$E$5:$E$53,MATCH($B13,'Позиции'!$B$5:$B$53,0))),"нет ставки"))</f>
        <v/>
      </c>
      <c r="G13" s="23">
        <f>IF($B13="","",IF($E13="Meister",IF(ISBLANK('Ставки'!$B$5),"нет ставки",'Ставки'!$B$5),IF(ISBLANK('Ставки'!$B$4),"нет ставки",'Ставки'!$B$4)))</f>
        <v/>
      </c>
      <c r="H13" s="23">
        <f>IF($B13="","",IF(AND(ISNUMBER($D13),ISNUMBER($F13),ISNUMBER($G13)),$D13*$F13*$G13,"нет ставки"))</f>
        <v/>
      </c>
      <c r="I13" s="23">
        <f>IF($B13="","",IFERROR(IF(INDEX('Позиции'!$F$5:$F$53,MATCH($B13,'Позиции'!$B$5:$B$53,0))="","нет ставки",INDEX('Позиции'!$F$5:$F$53,MATCH($B13,'Позиции'!$B$5:$B$53,0))),"нет ставки"))</f>
        <v/>
      </c>
      <c r="J13" s="23">
        <f>IF($B13="","",IF(AND(ISNUMBER($D13),ISNUMBER($I13),NOT(ISBLANK('Ставки'!$B$6))),$D13*$I13*(1+'Ставки'!$B$6),"нет ставки"))</f>
        <v/>
      </c>
      <c r="K13" s="23">
        <f>IF($B13="","",IF(AND(ISNUMBER($H13),ISNUMBER($J13)),$H13+$J13,"нет ставки"))</f>
        <v/>
      </c>
      <c r="L13" s="23">
        <f>IF($B13="","",IF(AND(ISNUMBER($K13),NOT(ISBLANK('Ставки'!$B$7))),$K13*'Ставки'!$B$7,"нет ставки"))</f>
        <v/>
      </c>
      <c r="M13" s="23">
        <f>IF($B13="","",IF(AND(ISNUMBER($K13),ISNUMBER($L13)),$K13+$L13,"нет ставки"))</f>
        <v/>
      </c>
      <c r="N13" s="23">
        <f>IF($B13="","",IF(AND(ISNUMBER($M13),NOT(ISBLANK('Ставки'!$B$8))),$M13*'Ставки'!$B$8,"нет ставки"))</f>
        <v/>
      </c>
      <c r="O13" s="23">
        <f>IF($B13="","",IF(AND(ISNUMBER($M13),NOT(ISBLANK('Ставки'!$B$9))),$M13*'Ставки'!$B$9,"нет ставки"))</f>
        <v/>
      </c>
      <c r="P13" s="23">
        <f>IF($B13="","",IF(AND(ISNUMBER($M13),ISNUMBER($N13),ISNUMBER($O13)),$M13+$N13+$O13,"нет ставки"))</f>
        <v/>
      </c>
      <c r="Q13" s="23">
        <f>IF($B13="","",IF(AND(ISNUMBER($P13),ISNUMBER($D13)),IF($D13=0,"нет ставки",$P13/$D13),"нет ставки"))</f>
        <v/>
      </c>
    </row>
    <row r="14">
      <c r="A14" s="15" t="n">
        <v>9</v>
      </c>
      <c r="B14" s="18" t="n"/>
      <c r="C14" s="15">
        <f>IF($B14="","",IFERROR(INDEX('Позиции'!$D$5:$D$53,MATCH($B14,'Позиции'!$B$5:$B$53,0)),""))</f>
        <v/>
      </c>
      <c r="D14" s="21" t="n"/>
      <c r="E14" s="18" t="inlineStr">
        <is>
          <t>Geselle</t>
        </is>
      </c>
      <c r="F14" s="22">
        <f>IF($B14="","",IFERROR(IF(INDEX('Позиции'!$E$5:$E$53,MATCH($B14,'Позиции'!$B$5:$B$53,0))="","нет ставки",INDEX('Позиции'!$E$5:$E$53,MATCH($B14,'Позиции'!$B$5:$B$53,0))),"нет ставки"))</f>
        <v/>
      </c>
      <c r="G14" s="23">
        <f>IF($B14="","",IF($E14="Meister",IF(ISBLANK('Ставки'!$B$5),"нет ставки",'Ставки'!$B$5),IF(ISBLANK('Ставки'!$B$4),"нет ставки",'Ставки'!$B$4)))</f>
        <v/>
      </c>
      <c r="H14" s="23">
        <f>IF($B14="","",IF(AND(ISNUMBER($D14),ISNUMBER($F14),ISNUMBER($G14)),$D14*$F14*$G14,"нет ставки"))</f>
        <v/>
      </c>
      <c r="I14" s="23">
        <f>IF($B14="","",IFERROR(IF(INDEX('Позиции'!$F$5:$F$53,MATCH($B14,'Позиции'!$B$5:$B$53,0))="","нет ставки",INDEX('Позиции'!$F$5:$F$53,MATCH($B14,'Позиции'!$B$5:$B$53,0))),"нет ставки"))</f>
        <v/>
      </c>
      <c r="J14" s="23">
        <f>IF($B14="","",IF(AND(ISNUMBER($D14),ISNUMBER($I14),NOT(ISBLANK('Ставки'!$B$6))),$D14*$I14*(1+'Ставки'!$B$6),"нет ставки"))</f>
        <v/>
      </c>
      <c r="K14" s="23">
        <f>IF($B14="","",IF(AND(ISNUMBER($H14),ISNUMBER($J14)),$H14+$J14,"нет ставки"))</f>
        <v/>
      </c>
      <c r="L14" s="23">
        <f>IF($B14="","",IF(AND(ISNUMBER($K14),NOT(ISBLANK('Ставки'!$B$7))),$K14*'Ставки'!$B$7,"нет ставки"))</f>
        <v/>
      </c>
      <c r="M14" s="23">
        <f>IF($B14="","",IF(AND(ISNUMBER($K14),ISNUMBER($L14)),$K14+$L14,"нет ставки"))</f>
        <v/>
      </c>
      <c r="N14" s="23">
        <f>IF($B14="","",IF(AND(ISNUMBER($M14),NOT(ISBLANK('Ставки'!$B$8))),$M14*'Ставки'!$B$8,"нет ставки"))</f>
        <v/>
      </c>
      <c r="O14" s="23">
        <f>IF($B14="","",IF(AND(ISNUMBER($M14),NOT(ISBLANK('Ставки'!$B$9))),$M14*'Ставки'!$B$9,"нет ставки"))</f>
        <v/>
      </c>
      <c r="P14" s="23">
        <f>IF($B14="","",IF(AND(ISNUMBER($M14),ISNUMBER($N14),ISNUMBER($O14)),$M14+$N14+$O14,"нет ставки"))</f>
        <v/>
      </c>
      <c r="Q14" s="23">
        <f>IF($B14="","",IF(AND(ISNUMBER($P14),ISNUMBER($D14)),IF($D14=0,"нет ставки",$P14/$D14),"нет ставки"))</f>
        <v/>
      </c>
    </row>
    <row r="15">
      <c r="A15" s="15" t="n">
        <v>10</v>
      </c>
      <c r="B15" s="18" t="n"/>
      <c r="C15" s="15">
        <f>IF($B15="","",IFERROR(INDEX('Позиции'!$D$5:$D$53,MATCH($B15,'Позиции'!$B$5:$B$53,0)),""))</f>
        <v/>
      </c>
      <c r="D15" s="21" t="n"/>
      <c r="E15" s="18" t="inlineStr">
        <is>
          <t>Geselle</t>
        </is>
      </c>
      <c r="F15" s="22">
        <f>IF($B15="","",IFERROR(IF(INDEX('Позиции'!$E$5:$E$53,MATCH($B15,'Позиции'!$B$5:$B$53,0))="","нет ставки",INDEX('Позиции'!$E$5:$E$53,MATCH($B15,'Позиции'!$B$5:$B$53,0))),"нет ставки"))</f>
        <v/>
      </c>
      <c r="G15" s="23">
        <f>IF($B15="","",IF($E15="Meister",IF(ISBLANK('Ставки'!$B$5),"нет ставки",'Ставки'!$B$5),IF(ISBLANK('Ставки'!$B$4),"нет ставки",'Ставки'!$B$4)))</f>
        <v/>
      </c>
      <c r="H15" s="23">
        <f>IF($B15="","",IF(AND(ISNUMBER($D15),ISNUMBER($F15),ISNUMBER($G15)),$D15*$F15*$G15,"нет ставки"))</f>
        <v/>
      </c>
      <c r="I15" s="23">
        <f>IF($B15="","",IFERROR(IF(INDEX('Позиции'!$F$5:$F$53,MATCH($B15,'Позиции'!$B$5:$B$53,0))="","нет ставки",INDEX('Позиции'!$F$5:$F$53,MATCH($B15,'Позиции'!$B$5:$B$53,0))),"нет ставки"))</f>
        <v/>
      </c>
      <c r="J15" s="23">
        <f>IF($B15="","",IF(AND(ISNUMBER($D15),ISNUMBER($I15),NOT(ISBLANK('Ставки'!$B$6))),$D15*$I15*(1+'Ставки'!$B$6),"нет ставки"))</f>
        <v/>
      </c>
      <c r="K15" s="23">
        <f>IF($B15="","",IF(AND(ISNUMBER($H15),ISNUMBER($J15)),$H15+$J15,"нет ставки"))</f>
        <v/>
      </c>
      <c r="L15" s="23">
        <f>IF($B15="","",IF(AND(ISNUMBER($K15),NOT(ISBLANK('Ставки'!$B$7))),$K15*'Ставки'!$B$7,"нет ставки"))</f>
        <v/>
      </c>
      <c r="M15" s="23">
        <f>IF($B15="","",IF(AND(ISNUMBER($K15),ISNUMBER($L15)),$K15+$L15,"нет ставки"))</f>
        <v/>
      </c>
      <c r="N15" s="23">
        <f>IF($B15="","",IF(AND(ISNUMBER($M15),NOT(ISBLANK('Ставки'!$B$8))),$M15*'Ставки'!$B$8,"нет ставки"))</f>
        <v/>
      </c>
      <c r="O15" s="23">
        <f>IF($B15="","",IF(AND(ISNUMBER($M15),NOT(ISBLANK('Ставки'!$B$9))),$M15*'Ставки'!$B$9,"нет ставки"))</f>
        <v/>
      </c>
      <c r="P15" s="23">
        <f>IF($B15="","",IF(AND(ISNUMBER($M15),ISNUMBER($N15),ISNUMBER($O15)),$M15+$N15+$O15,"нет ставки"))</f>
        <v/>
      </c>
      <c r="Q15" s="23">
        <f>IF($B15="","",IF(AND(ISNUMBER($P15),ISNUMBER($D15)),IF($D15=0,"нет ставки",$P15/$D15),"нет ставки"))</f>
        <v/>
      </c>
    </row>
    <row r="16">
      <c r="A16" s="15" t="n">
        <v>11</v>
      </c>
      <c r="B16" s="18" t="n"/>
      <c r="C16" s="15">
        <f>IF($B16="","",IFERROR(INDEX('Позиции'!$D$5:$D$53,MATCH($B16,'Позиции'!$B$5:$B$53,0)),""))</f>
        <v/>
      </c>
      <c r="D16" s="21" t="n"/>
      <c r="E16" s="18" t="inlineStr">
        <is>
          <t>Geselle</t>
        </is>
      </c>
      <c r="F16" s="22">
        <f>IF($B16="","",IFERROR(IF(INDEX('Позиции'!$E$5:$E$53,MATCH($B16,'Позиции'!$B$5:$B$53,0))="","нет ставки",INDEX('Позиции'!$E$5:$E$53,MATCH($B16,'Позиции'!$B$5:$B$53,0))),"нет ставки"))</f>
        <v/>
      </c>
      <c r="G16" s="23">
        <f>IF($B16="","",IF($E16="Meister",IF(ISBLANK('Ставки'!$B$5),"нет ставки",'Ставки'!$B$5),IF(ISBLANK('Ставки'!$B$4),"нет ставки",'Ставки'!$B$4)))</f>
        <v/>
      </c>
      <c r="H16" s="23">
        <f>IF($B16="","",IF(AND(ISNUMBER($D16),ISNUMBER($F16),ISNUMBER($G16)),$D16*$F16*$G16,"нет ставки"))</f>
        <v/>
      </c>
      <c r="I16" s="23">
        <f>IF($B16="","",IFERROR(IF(INDEX('Позиции'!$F$5:$F$53,MATCH($B16,'Позиции'!$B$5:$B$53,0))="","нет ставки",INDEX('Позиции'!$F$5:$F$53,MATCH($B16,'Позиции'!$B$5:$B$53,0))),"нет ставки"))</f>
        <v/>
      </c>
      <c r="J16" s="23">
        <f>IF($B16="","",IF(AND(ISNUMBER($D16),ISNUMBER($I16),NOT(ISBLANK('Ставки'!$B$6))),$D16*$I16*(1+'Ставки'!$B$6),"нет ставки"))</f>
        <v/>
      </c>
      <c r="K16" s="23">
        <f>IF($B16="","",IF(AND(ISNUMBER($H16),ISNUMBER($J16)),$H16+$J16,"нет ставки"))</f>
        <v/>
      </c>
      <c r="L16" s="23">
        <f>IF($B16="","",IF(AND(ISNUMBER($K16),NOT(ISBLANK('Ставки'!$B$7))),$K16*'Ставки'!$B$7,"нет ставки"))</f>
        <v/>
      </c>
      <c r="M16" s="23">
        <f>IF($B16="","",IF(AND(ISNUMBER($K16),ISNUMBER($L16)),$K16+$L16,"нет ставки"))</f>
        <v/>
      </c>
      <c r="N16" s="23">
        <f>IF($B16="","",IF(AND(ISNUMBER($M16),NOT(ISBLANK('Ставки'!$B$8))),$M16*'Ставки'!$B$8,"нет ставки"))</f>
        <v/>
      </c>
      <c r="O16" s="23">
        <f>IF($B16="","",IF(AND(ISNUMBER($M16),NOT(ISBLANK('Ставки'!$B$9))),$M16*'Ставки'!$B$9,"нет ставки"))</f>
        <v/>
      </c>
      <c r="P16" s="23">
        <f>IF($B16="","",IF(AND(ISNUMBER($M16),ISNUMBER($N16),ISNUMBER($O16)),$M16+$N16+$O16,"нет ставки"))</f>
        <v/>
      </c>
      <c r="Q16" s="23">
        <f>IF($B16="","",IF(AND(ISNUMBER($P16),ISNUMBER($D16)),IF($D16=0,"нет ставки",$P16/$D16),"нет ставки"))</f>
        <v/>
      </c>
    </row>
    <row r="17">
      <c r="A17" s="15" t="n">
        <v>12</v>
      </c>
      <c r="B17" s="18" t="n"/>
      <c r="C17" s="15">
        <f>IF($B17="","",IFERROR(INDEX('Позиции'!$D$5:$D$53,MATCH($B17,'Позиции'!$B$5:$B$53,0)),""))</f>
        <v/>
      </c>
      <c r="D17" s="21" t="n"/>
      <c r="E17" s="18" t="inlineStr">
        <is>
          <t>Geselle</t>
        </is>
      </c>
      <c r="F17" s="22">
        <f>IF($B17="","",IFERROR(IF(INDEX('Позиции'!$E$5:$E$53,MATCH($B17,'Позиции'!$B$5:$B$53,0))="","нет ставки",INDEX('Позиции'!$E$5:$E$53,MATCH($B17,'Позиции'!$B$5:$B$53,0))),"нет ставки"))</f>
        <v/>
      </c>
      <c r="G17" s="23">
        <f>IF($B17="","",IF($E17="Meister",IF(ISBLANK('Ставки'!$B$5),"нет ставки",'Ставки'!$B$5),IF(ISBLANK('Ставки'!$B$4),"нет ставки",'Ставки'!$B$4)))</f>
        <v/>
      </c>
      <c r="H17" s="23">
        <f>IF($B17="","",IF(AND(ISNUMBER($D17),ISNUMBER($F17),ISNUMBER($G17)),$D17*$F17*$G17,"нет ставки"))</f>
        <v/>
      </c>
      <c r="I17" s="23">
        <f>IF($B17="","",IFERROR(IF(INDEX('Позиции'!$F$5:$F$53,MATCH($B17,'Позиции'!$B$5:$B$53,0))="","нет ставки",INDEX('Позиции'!$F$5:$F$53,MATCH($B17,'Позиции'!$B$5:$B$53,0))),"нет ставки"))</f>
        <v/>
      </c>
      <c r="J17" s="23">
        <f>IF($B17="","",IF(AND(ISNUMBER($D17),ISNUMBER($I17),NOT(ISBLANK('Ставки'!$B$6))),$D17*$I17*(1+'Ставки'!$B$6),"нет ставки"))</f>
        <v/>
      </c>
      <c r="K17" s="23">
        <f>IF($B17="","",IF(AND(ISNUMBER($H17),ISNUMBER($J17)),$H17+$J17,"нет ставки"))</f>
        <v/>
      </c>
      <c r="L17" s="23">
        <f>IF($B17="","",IF(AND(ISNUMBER($K17),NOT(ISBLANK('Ставки'!$B$7))),$K17*'Ставки'!$B$7,"нет ставки"))</f>
        <v/>
      </c>
      <c r="M17" s="23">
        <f>IF($B17="","",IF(AND(ISNUMBER($K17),ISNUMBER($L17)),$K17+$L17,"нет ставки"))</f>
        <v/>
      </c>
      <c r="N17" s="23">
        <f>IF($B17="","",IF(AND(ISNUMBER($M17),NOT(ISBLANK('Ставки'!$B$8))),$M17*'Ставки'!$B$8,"нет ставки"))</f>
        <v/>
      </c>
      <c r="O17" s="23">
        <f>IF($B17="","",IF(AND(ISNUMBER($M17),NOT(ISBLANK('Ставки'!$B$9))),$M17*'Ставки'!$B$9,"нет ставки"))</f>
        <v/>
      </c>
      <c r="P17" s="23">
        <f>IF($B17="","",IF(AND(ISNUMBER($M17),ISNUMBER($N17),ISNUMBER($O17)),$M17+$N17+$O17,"нет ставки"))</f>
        <v/>
      </c>
      <c r="Q17" s="23">
        <f>IF($B17="","",IF(AND(ISNUMBER($P17),ISNUMBER($D17)),IF($D17=0,"нет ставки",$P17/$D17),"нет ставки"))</f>
        <v/>
      </c>
    </row>
    <row r="18">
      <c r="A18" s="15" t="n">
        <v>13</v>
      </c>
      <c r="B18" s="18" t="n"/>
      <c r="C18" s="15">
        <f>IF($B18="","",IFERROR(INDEX('Позиции'!$D$5:$D$53,MATCH($B18,'Позиции'!$B$5:$B$53,0)),""))</f>
        <v/>
      </c>
      <c r="D18" s="21" t="n"/>
      <c r="E18" s="18" t="inlineStr">
        <is>
          <t>Geselle</t>
        </is>
      </c>
      <c r="F18" s="22">
        <f>IF($B18="","",IFERROR(IF(INDEX('Позиции'!$E$5:$E$53,MATCH($B18,'Позиции'!$B$5:$B$53,0))="","нет ставки",INDEX('Позиции'!$E$5:$E$53,MATCH($B18,'Позиции'!$B$5:$B$53,0))),"нет ставки"))</f>
        <v/>
      </c>
      <c r="G18" s="23">
        <f>IF($B18="","",IF($E18="Meister",IF(ISBLANK('Ставки'!$B$5),"нет ставки",'Ставки'!$B$5),IF(ISBLANK('Ставки'!$B$4),"нет ставки",'Ставки'!$B$4)))</f>
        <v/>
      </c>
      <c r="H18" s="23">
        <f>IF($B18="","",IF(AND(ISNUMBER($D18),ISNUMBER($F18),ISNUMBER($G18)),$D18*$F18*$G18,"нет ставки"))</f>
        <v/>
      </c>
      <c r="I18" s="23">
        <f>IF($B18="","",IFERROR(IF(INDEX('Позиции'!$F$5:$F$53,MATCH($B18,'Позиции'!$B$5:$B$53,0))="","нет ставки",INDEX('Позиции'!$F$5:$F$53,MATCH($B18,'Позиции'!$B$5:$B$53,0))),"нет ставки"))</f>
        <v/>
      </c>
      <c r="J18" s="23">
        <f>IF($B18="","",IF(AND(ISNUMBER($D18),ISNUMBER($I18),NOT(ISBLANK('Ставки'!$B$6))),$D18*$I18*(1+'Ставки'!$B$6),"нет ставки"))</f>
        <v/>
      </c>
      <c r="K18" s="23">
        <f>IF($B18="","",IF(AND(ISNUMBER($H18),ISNUMBER($J18)),$H18+$J18,"нет ставки"))</f>
        <v/>
      </c>
      <c r="L18" s="23">
        <f>IF($B18="","",IF(AND(ISNUMBER($K18),NOT(ISBLANK('Ставки'!$B$7))),$K18*'Ставки'!$B$7,"нет ставки"))</f>
        <v/>
      </c>
      <c r="M18" s="23">
        <f>IF($B18="","",IF(AND(ISNUMBER($K18),ISNUMBER($L18)),$K18+$L18,"нет ставки"))</f>
        <v/>
      </c>
      <c r="N18" s="23">
        <f>IF($B18="","",IF(AND(ISNUMBER($M18),NOT(ISBLANK('Ставки'!$B$8))),$M18*'Ставки'!$B$8,"нет ставки"))</f>
        <v/>
      </c>
      <c r="O18" s="23">
        <f>IF($B18="","",IF(AND(ISNUMBER($M18),NOT(ISBLANK('Ставки'!$B$9))),$M18*'Ставки'!$B$9,"нет ставки"))</f>
        <v/>
      </c>
      <c r="P18" s="23">
        <f>IF($B18="","",IF(AND(ISNUMBER($M18),ISNUMBER($N18),ISNUMBER($O18)),$M18+$N18+$O18,"нет ставки"))</f>
        <v/>
      </c>
      <c r="Q18" s="23">
        <f>IF($B18="","",IF(AND(ISNUMBER($P18),ISNUMBER($D18)),IF($D18=0,"нет ставки",$P18/$D18),"нет ставки"))</f>
        <v/>
      </c>
    </row>
    <row r="19">
      <c r="A19" s="15" t="n">
        <v>14</v>
      </c>
      <c r="B19" s="18" t="n"/>
      <c r="C19" s="15">
        <f>IF($B19="","",IFERROR(INDEX('Позиции'!$D$5:$D$53,MATCH($B19,'Позиции'!$B$5:$B$53,0)),""))</f>
        <v/>
      </c>
      <c r="D19" s="21" t="n"/>
      <c r="E19" s="18" t="inlineStr">
        <is>
          <t>Geselle</t>
        </is>
      </c>
      <c r="F19" s="22">
        <f>IF($B19="","",IFERROR(IF(INDEX('Позиции'!$E$5:$E$53,MATCH($B19,'Позиции'!$B$5:$B$53,0))="","нет ставки",INDEX('Позиции'!$E$5:$E$53,MATCH($B19,'Позиции'!$B$5:$B$53,0))),"нет ставки"))</f>
        <v/>
      </c>
      <c r="G19" s="23">
        <f>IF($B19="","",IF($E19="Meister",IF(ISBLANK('Ставки'!$B$5),"нет ставки",'Ставки'!$B$5),IF(ISBLANK('Ставки'!$B$4),"нет ставки",'Ставки'!$B$4)))</f>
        <v/>
      </c>
      <c r="H19" s="23">
        <f>IF($B19="","",IF(AND(ISNUMBER($D19),ISNUMBER($F19),ISNUMBER($G19)),$D19*$F19*$G19,"нет ставки"))</f>
        <v/>
      </c>
      <c r="I19" s="23">
        <f>IF($B19="","",IFERROR(IF(INDEX('Позиции'!$F$5:$F$53,MATCH($B19,'Позиции'!$B$5:$B$53,0))="","нет ставки",INDEX('Позиции'!$F$5:$F$53,MATCH($B19,'Позиции'!$B$5:$B$53,0))),"нет ставки"))</f>
        <v/>
      </c>
      <c r="J19" s="23">
        <f>IF($B19="","",IF(AND(ISNUMBER($D19),ISNUMBER($I19),NOT(ISBLANK('Ставки'!$B$6))),$D19*$I19*(1+'Ставки'!$B$6),"нет ставки"))</f>
        <v/>
      </c>
      <c r="K19" s="23">
        <f>IF($B19="","",IF(AND(ISNUMBER($H19),ISNUMBER($J19)),$H19+$J19,"нет ставки"))</f>
        <v/>
      </c>
      <c r="L19" s="23">
        <f>IF($B19="","",IF(AND(ISNUMBER($K19),NOT(ISBLANK('Ставки'!$B$7))),$K19*'Ставки'!$B$7,"нет ставки"))</f>
        <v/>
      </c>
      <c r="M19" s="23">
        <f>IF($B19="","",IF(AND(ISNUMBER($K19),ISNUMBER($L19)),$K19+$L19,"нет ставки"))</f>
        <v/>
      </c>
      <c r="N19" s="23">
        <f>IF($B19="","",IF(AND(ISNUMBER($M19),NOT(ISBLANK('Ставки'!$B$8))),$M19*'Ставки'!$B$8,"нет ставки"))</f>
        <v/>
      </c>
      <c r="O19" s="23">
        <f>IF($B19="","",IF(AND(ISNUMBER($M19),NOT(ISBLANK('Ставки'!$B$9))),$M19*'Ставки'!$B$9,"нет ставки"))</f>
        <v/>
      </c>
      <c r="P19" s="23">
        <f>IF($B19="","",IF(AND(ISNUMBER($M19),ISNUMBER($N19),ISNUMBER($O19)),$M19+$N19+$O19,"нет ставки"))</f>
        <v/>
      </c>
      <c r="Q19" s="23">
        <f>IF($B19="","",IF(AND(ISNUMBER($P19),ISNUMBER($D19)),IF($D19=0,"нет ставки",$P19/$D19),"нет ставки"))</f>
        <v/>
      </c>
    </row>
    <row r="20">
      <c r="A20" s="15" t="n">
        <v>15</v>
      </c>
      <c r="B20" s="18" t="n"/>
      <c r="C20" s="15">
        <f>IF($B20="","",IFERROR(INDEX('Позиции'!$D$5:$D$53,MATCH($B20,'Позиции'!$B$5:$B$53,0)),""))</f>
        <v/>
      </c>
      <c r="D20" s="21" t="n"/>
      <c r="E20" s="18" t="inlineStr">
        <is>
          <t>Geselle</t>
        </is>
      </c>
      <c r="F20" s="22">
        <f>IF($B20="","",IFERROR(IF(INDEX('Позиции'!$E$5:$E$53,MATCH($B20,'Позиции'!$B$5:$B$53,0))="","нет ставки",INDEX('Позиции'!$E$5:$E$53,MATCH($B20,'Позиции'!$B$5:$B$53,0))),"нет ставки"))</f>
        <v/>
      </c>
      <c r="G20" s="23">
        <f>IF($B20="","",IF($E20="Meister",IF(ISBLANK('Ставки'!$B$5),"нет ставки",'Ставки'!$B$5),IF(ISBLANK('Ставки'!$B$4),"нет ставки",'Ставки'!$B$4)))</f>
        <v/>
      </c>
      <c r="H20" s="23">
        <f>IF($B20="","",IF(AND(ISNUMBER($D20),ISNUMBER($F20),ISNUMBER($G20)),$D20*$F20*$G20,"нет ставки"))</f>
        <v/>
      </c>
      <c r="I20" s="23">
        <f>IF($B20="","",IFERROR(IF(INDEX('Позиции'!$F$5:$F$53,MATCH($B20,'Позиции'!$B$5:$B$53,0))="","нет ставки",INDEX('Позиции'!$F$5:$F$53,MATCH($B20,'Позиции'!$B$5:$B$53,0))),"нет ставки"))</f>
        <v/>
      </c>
      <c r="J20" s="23">
        <f>IF($B20="","",IF(AND(ISNUMBER($D20),ISNUMBER($I20),NOT(ISBLANK('Ставки'!$B$6))),$D20*$I20*(1+'Ставки'!$B$6),"нет ставки"))</f>
        <v/>
      </c>
      <c r="K20" s="23">
        <f>IF($B20="","",IF(AND(ISNUMBER($H20),ISNUMBER($J20)),$H20+$J20,"нет ставки"))</f>
        <v/>
      </c>
      <c r="L20" s="23">
        <f>IF($B20="","",IF(AND(ISNUMBER($K20),NOT(ISBLANK('Ставки'!$B$7))),$K20*'Ставки'!$B$7,"нет ставки"))</f>
        <v/>
      </c>
      <c r="M20" s="23">
        <f>IF($B20="","",IF(AND(ISNUMBER($K20),ISNUMBER($L20)),$K20+$L20,"нет ставки"))</f>
        <v/>
      </c>
      <c r="N20" s="23">
        <f>IF($B20="","",IF(AND(ISNUMBER($M20),NOT(ISBLANK('Ставки'!$B$8))),$M20*'Ставки'!$B$8,"нет ставки"))</f>
        <v/>
      </c>
      <c r="O20" s="23">
        <f>IF($B20="","",IF(AND(ISNUMBER($M20),NOT(ISBLANK('Ставки'!$B$9))),$M20*'Ставки'!$B$9,"нет ставки"))</f>
        <v/>
      </c>
      <c r="P20" s="23">
        <f>IF($B20="","",IF(AND(ISNUMBER($M20),ISNUMBER($N20),ISNUMBER($O20)),$M20+$N20+$O20,"нет ставки"))</f>
        <v/>
      </c>
      <c r="Q20" s="23">
        <f>IF($B20="","",IF(AND(ISNUMBER($P20),ISNUMBER($D20)),IF($D20=0,"нет ставки",$P20/$D20),"нет ставки"))</f>
        <v/>
      </c>
    </row>
    <row r="21">
      <c r="A21" s="15" t="n">
        <v>16</v>
      </c>
      <c r="B21" s="18" t="n"/>
      <c r="C21" s="15">
        <f>IF($B21="","",IFERROR(INDEX('Позиции'!$D$5:$D$53,MATCH($B21,'Позиции'!$B$5:$B$53,0)),""))</f>
        <v/>
      </c>
      <c r="D21" s="21" t="n"/>
      <c r="E21" s="18" t="inlineStr">
        <is>
          <t>Geselle</t>
        </is>
      </c>
      <c r="F21" s="22">
        <f>IF($B21="","",IFERROR(IF(INDEX('Позиции'!$E$5:$E$53,MATCH($B21,'Позиции'!$B$5:$B$53,0))="","нет ставки",INDEX('Позиции'!$E$5:$E$53,MATCH($B21,'Позиции'!$B$5:$B$53,0))),"нет ставки"))</f>
        <v/>
      </c>
      <c r="G21" s="23">
        <f>IF($B21="","",IF($E21="Meister",IF(ISBLANK('Ставки'!$B$5),"нет ставки",'Ставки'!$B$5),IF(ISBLANK('Ставки'!$B$4),"нет ставки",'Ставки'!$B$4)))</f>
        <v/>
      </c>
      <c r="H21" s="23">
        <f>IF($B21="","",IF(AND(ISNUMBER($D21),ISNUMBER($F21),ISNUMBER($G21)),$D21*$F21*$G21,"нет ставки"))</f>
        <v/>
      </c>
      <c r="I21" s="23">
        <f>IF($B21="","",IFERROR(IF(INDEX('Позиции'!$F$5:$F$53,MATCH($B21,'Позиции'!$B$5:$B$53,0))="","нет ставки",INDEX('Позиции'!$F$5:$F$53,MATCH($B21,'Позиции'!$B$5:$B$53,0))),"нет ставки"))</f>
        <v/>
      </c>
      <c r="J21" s="23">
        <f>IF($B21="","",IF(AND(ISNUMBER($D21),ISNUMBER($I21),NOT(ISBLANK('Ставки'!$B$6))),$D21*$I21*(1+'Ставки'!$B$6),"нет ставки"))</f>
        <v/>
      </c>
      <c r="K21" s="23">
        <f>IF($B21="","",IF(AND(ISNUMBER($H21),ISNUMBER($J21)),$H21+$J21,"нет ставки"))</f>
        <v/>
      </c>
      <c r="L21" s="23">
        <f>IF($B21="","",IF(AND(ISNUMBER($K21),NOT(ISBLANK('Ставки'!$B$7))),$K21*'Ставки'!$B$7,"нет ставки"))</f>
        <v/>
      </c>
      <c r="M21" s="23">
        <f>IF($B21="","",IF(AND(ISNUMBER($K21),ISNUMBER($L21)),$K21+$L21,"нет ставки"))</f>
        <v/>
      </c>
      <c r="N21" s="23">
        <f>IF($B21="","",IF(AND(ISNUMBER($M21),NOT(ISBLANK('Ставки'!$B$8))),$M21*'Ставки'!$B$8,"нет ставки"))</f>
        <v/>
      </c>
      <c r="O21" s="23">
        <f>IF($B21="","",IF(AND(ISNUMBER($M21),NOT(ISBLANK('Ставки'!$B$9))),$M21*'Ставки'!$B$9,"нет ставки"))</f>
        <v/>
      </c>
      <c r="P21" s="23">
        <f>IF($B21="","",IF(AND(ISNUMBER($M21),ISNUMBER($N21),ISNUMBER($O21)),$M21+$N21+$O21,"нет ставки"))</f>
        <v/>
      </c>
      <c r="Q21" s="23">
        <f>IF($B21="","",IF(AND(ISNUMBER($P21),ISNUMBER($D21)),IF($D21=0,"нет ставки",$P21/$D21),"нет ставки"))</f>
        <v/>
      </c>
    </row>
    <row r="22">
      <c r="A22" s="15" t="n">
        <v>17</v>
      </c>
      <c r="B22" s="18" t="n"/>
      <c r="C22" s="15">
        <f>IF($B22="","",IFERROR(INDEX('Позиции'!$D$5:$D$53,MATCH($B22,'Позиции'!$B$5:$B$53,0)),""))</f>
        <v/>
      </c>
      <c r="D22" s="21" t="n"/>
      <c r="E22" s="18" t="inlineStr">
        <is>
          <t>Geselle</t>
        </is>
      </c>
      <c r="F22" s="22">
        <f>IF($B22="","",IFERROR(IF(INDEX('Позиции'!$E$5:$E$53,MATCH($B22,'Позиции'!$B$5:$B$53,0))="","нет ставки",INDEX('Позиции'!$E$5:$E$53,MATCH($B22,'Позиции'!$B$5:$B$53,0))),"нет ставки"))</f>
        <v/>
      </c>
      <c r="G22" s="23">
        <f>IF($B22="","",IF($E22="Meister",IF(ISBLANK('Ставки'!$B$5),"нет ставки",'Ставки'!$B$5),IF(ISBLANK('Ставки'!$B$4),"нет ставки",'Ставки'!$B$4)))</f>
        <v/>
      </c>
      <c r="H22" s="23">
        <f>IF($B22="","",IF(AND(ISNUMBER($D22),ISNUMBER($F22),ISNUMBER($G22)),$D22*$F22*$G22,"нет ставки"))</f>
        <v/>
      </c>
      <c r="I22" s="23">
        <f>IF($B22="","",IFERROR(IF(INDEX('Позиции'!$F$5:$F$53,MATCH($B22,'Позиции'!$B$5:$B$53,0))="","нет ставки",INDEX('Позиции'!$F$5:$F$53,MATCH($B22,'Позиции'!$B$5:$B$53,0))),"нет ставки"))</f>
        <v/>
      </c>
      <c r="J22" s="23">
        <f>IF($B22="","",IF(AND(ISNUMBER($D22),ISNUMBER($I22),NOT(ISBLANK('Ставки'!$B$6))),$D22*$I22*(1+'Ставки'!$B$6),"нет ставки"))</f>
        <v/>
      </c>
      <c r="K22" s="23">
        <f>IF($B22="","",IF(AND(ISNUMBER($H22),ISNUMBER($J22)),$H22+$J22,"нет ставки"))</f>
        <v/>
      </c>
      <c r="L22" s="23">
        <f>IF($B22="","",IF(AND(ISNUMBER($K22),NOT(ISBLANK('Ставки'!$B$7))),$K22*'Ставки'!$B$7,"нет ставки"))</f>
        <v/>
      </c>
      <c r="M22" s="23">
        <f>IF($B22="","",IF(AND(ISNUMBER($K22),ISNUMBER($L22)),$K22+$L22,"нет ставки"))</f>
        <v/>
      </c>
      <c r="N22" s="23">
        <f>IF($B22="","",IF(AND(ISNUMBER($M22),NOT(ISBLANK('Ставки'!$B$8))),$M22*'Ставки'!$B$8,"нет ставки"))</f>
        <v/>
      </c>
      <c r="O22" s="23">
        <f>IF($B22="","",IF(AND(ISNUMBER($M22),NOT(ISBLANK('Ставки'!$B$9))),$M22*'Ставки'!$B$9,"нет ставки"))</f>
        <v/>
      </c>
      <c r="P22" s="23">
        <f>IF($B22="","",IF(AND(ISNUMBER($M22),ISNUMBER($N22),ISNUMBER($O22)),$M22+$N22+$O22,"нет ставки"))</f>
        <v/>
      </c>
      <c r="Q22" s="23">
        <f>IF($B22="","",IF(AND(ISNUMBER($P22),ISNUMBER($D22)),IF($D22=0,"нет ставки",$P22/$D22),"нет ставки"))</f>
        <v/>
      </c>
    </row>
    <row r="23">
      <c r="A23" s="15" t="n">
        <v>18</v>
      </c>
      <c r="B23" s="18" t="n"/>
      <c r="C23" s="15">
        <f>IF($B23="","",IFERROR(INDEX('Позиции'!$D$5:$D$53,MATCH($B23,'Позиции'!$B$5:$B$53,0)),""))</f>
        <v/>
      </c>
      <c r="D23" s="21" t="n"/>
      <c r="E23" s="18" t="inlineStr">
        <is>
          <t>Geselle</t>
        </is>
      </c>
      <c r="F23" s="22">
        <f>IF($B23="","",IFERROR(IF(INDEX('Позиции'!$E$5:$E$53,MATCH($B23,'Позиции'!$B$5:$B$53,0))="","нет ставки",INDEX('Позиции'!$E$5:$E$53,MATCH($B23,'Позиции'!$B$5:$B$53,0))),"нет ставки"))</f>
        <v/>
      </c>
      <c r="G23" s="23">
        <f>IF($B23="","",IF($E23="Meister",IF(ISBLANK('Ставки'!$B$5),"нет ставки",'Ставки'!$B$5),IF(ISBLANK('Ставки'!$B$4),"нет ставки",'Ставки'!$B$4)))</f>
        <v/>
      </c>
      <c r="H23" s="23">
        <f>IF($B23="","",IF(AND(ISNUMBER($D23),ISNUMBER($F23),ISNUMBER($G23)),$D23*$F23*$G23,"нет ставки"))</f>
        <v/>
      </c>
      <c r="I23" s="23">
        <f>IF($B23="","",IFERROR(IF(INDEX('Позиции'!$F$5:$F$53,MATCH($B23,'Позиции'!$B$5:$B$53,0))="","нет ставки",INDEX('Позиции'!$F$5:$F$53,MATCH($B23,'Позиции'!$B$5:$B$53,0))),"нет ставки"))</f>
        <v/>
      </c>
      <c r="J23" s="23">
        <f>IF($B23="","",IF(AND(ISNUMBER($D23),ISNUMBER($I23),NOT(ISBLANK('Ставки'!$B$6))),$D23*$I23*(1+'Ставки'!$B$6),"нет ставки"))</f>
        <v/>
      </c>
      <c r="K23" s="23">
        <f>IF($B23="","",IF(AND(ISNUMBER($H23),ISNUMBER($J23)),$H23+$J23,"нет ставки"))</f>
        <v/>
      </c>
      <c r="L23" s="23">
        <f>IF($B23="","",IF(AND(ISNUMBER($K23),NOT(ISBLANK('Ставки'!$B$7))),$K23*'Ставки'!$B$7,"нет ставки"))</f>
        <v/>
      </c>
      <c r="M23" s="23">
        <f>IF($B23="","",IF(AND(ISNUMBER($K23),ISNUMBER($L23)),$K23+$L23,"нет ставки"))</f>
        <v/>
      </c>
      <c r="N23" s="23">
        <f>IF($B23="","",IF(AND(ISNUMBER($M23),NOT(ISBLANK('Ставки'!$B$8))),$M23*'Ставки'!$B$8,"нет ставки"))</f>
        <v/>
      </c>
      <c r="O23" s="23">
        <f>IF($B23="","",IF(AND(ISNUMBER($M23),NOT(ISBLANK('Ставки'!$B$9))),$M23*'Ставки'!$B$9,"нет ставки"))</f>
        <v/>
      </c>
      <c r="P23" s="23">
        <f>IF($B23="","",IF(AND(ISNUMBER($M23),ISNUMBER($N23),ISNUMBER($O23)),$M23+$N23+$O23,"нет ставки"))</f>
        <v/>
      </c>
      <c r="Q23" s="23">
        <f>IF($B23="","",IF(AND(ISNUMBER($P23),ISNUMBER($D23)),IF($D23=0,"нет ставки",$P23/$D23),"нет ставки"))</f>
        <v/>
      </c>
    </row>
    <row r="24">
      <c r="A24" s="15" t="n">
        <v>19</v>
      </c>
      <c r="B24" s="18" t="n"/>
      <c r="C24" s="15">
        <f>IF($B24="","",IFERROR(INDEX('Позиции'!$D$5:$D$53,MATCH($B24,'Позиции'!$B$5:$B$53,0)),""))</f>
        <v/>
      </c>
      <c r="D24" s="21" t="n"/>
      <c r="E24" s="18" t="inlineStr">
        <is>
          <t>Geselle</t>
        </is>
      </c>
      <c r="F24" s="22">
        <f>IF($B24="","",IFERROR(IF(INDEX('Позиции'!$E$5:$E$53,MATCH($B24,'Позиции'!$B$5:$B$53,0))="","нет ставки",INDEX('Позиции'!$E$5:$E$53,MATCH($B24,'Позиции'!$B$5:$B$53,0))),"нет ставки"))</f>
        <v/>
      </c>
      <c r="G24" s="23">
        <f>IF($B24="","",IF($E24="Meister",IF(ISBLANK('Ставки'!$B$5),"нет ставки",'Ставки'!$B$5),IF(ISBLANK('Ставки'!$B$4),"нет ставки",'Ставки'!$B$4)))</f>
        <v/>
      </c>
      <c r="H24" s="23">
        <f>IF($B24="","",IF(AND(ISNUMBER($D24),ISNUMBER($F24),ISNUMBER($G24)),$D24*$F24*$G24,"нет ставки"))</f>
        <v/>
      </c>
      <c r="I24" s="23">
        <f>IF($B24="","",IFERROR(IF(INDEX('Позиции'!$F$5:$F$53,MATCH($B24,'Позиции'!$B$5:$B$53,0))="","нет ставки",INDEX('Позиции'!$F$5:$F$53,MATCH($B24,'Позиции'!$B$5:$B$53,0))),"нет ставки"))</f>
        <v/>
      </c>
      <c r="J24" s="23">
        <f>IF($B24="","",IF(AND(ISNUMBER($D24),ISNUMBER($I24),NOT(ISBLANK('Ставки'!$B$6))),$D24*$I24*(1+'Ставки'!$B$6),"нет ставки"))</f>
        <v/>
      </c>
      <c r="K24" s="23">
        <f>IF($B24="","",IF(AND(ISNUMBER($H24),ISNUMBER($J24)),$H24+$J24,"нет ставки"))</f>
        <v/>
      </c>
      <c r="L24" s="23">
        <f>IF($B24="","",IF(AND(ISNUMBER($K24),NOT(ISBLANK('Ставки'!$B$7))),$K24*'Ставки'!$B$7,"нет ставки"))</f>
        <v/>
      </c>
      <c r="M24" s="23">
        <f>IF($B24="","",IF(AND(ISNUMBER($K24),ISNUMBER($L24)),$K24+$L24,"нет ставки"))</f>
        <v/>
      </c>
      <c r="N24" s="23">
        <f>IF($B24="","",IF(AND(ISNUMBER($M24),NOT(ISBLANK('Ставки'!$B$8))),$M24*'Ставки'!$B$8,"нет ставки"))</f>
        <v/>
      </c>
      <c r="O24" s="23">
        <f>IF($B24="","",IF(AND(ISNUMBER($M24),NOT(ISBLANK('Ставки'!$B$9))),$M24*'Ставки'!$B$9,"нет ставки"))</f>
        <v/>
      </c>
      <c r="P24" s="23">
        <f>IF($B24="","",IF(AND(ISNUMBER($M24),ISNUMBER($N24),ISNUMBER($O24)),$M24+$N24+$O24,"нет ставки"))</f>
        <v/>
      </c>
      <c r="Q24" s="23">
        <f>IF($B24="","",IF(AND(ISNUMBER($P24),ISNUMBER($D24)),IF($D24=0,"нет ставки",$P24/$D24),"нет ставки"))</f>
        <v/>
      </c>
    </row>
    <row r="25">
      <c r="A25" s="15" t="n">
        <v>20</v>
      </c>
      <c r="B25" s="18" t="n"/>
      <c r="C25" s="15">
        <f>IF($B25="","",IFERROR(INDEX('Позиции'!$D$5:$D$53,MATCH($B25,'Позиции'!$B$5:$B$53,0)),""))</f>
        <v/>
      </c>
      <c r="D25" s="21" t="n"/>
      <c r="E25" s="18" t="inlineStr">
        <is>
          <t>Geselle</t>
        </is>
      </c>
      <c r="F25" s="22">
        <f>IF($B25="","",IFERROR(IF(INDEX('Позиции'!$E$5:$E$53,MATCH($B25,'Позиции'!$B$5:$B$53,0))="","нет ставки",INDEX('Позиции'!$E$5:$E$53,MATCH($B25,'Позиции'!$B$5:$B$53,0))),"нет ставки"))</f>
        <v/>
      </c>
      <c r="G25" s="23">
        <f>IF($B25="","",IF($E25="Meister",IF(ISBLANK('Ставки'!$B$5),"нет ставки",'Ставки'!$B$5),IF(ISBLANK('Ставки'!$B$4),"нет ставки",'Ставки'!$B$4)))</f>
        <v/>
      </c>
      <c r="H25" s="23">
        <f>IF($B25="","",IF(AND(ISNUMBER($D25),ISNUMBER($F25),ISNUMBER($G25)),$D25*$F25*$G25,"нет ставки"))</f>
        <v/>
      </c>
      <c r="I25" s="23">
        <f>IF($B25="","",IFERROR(IF(INDEX('Позиции'!$F$5:$F$53,MATCH($B25,'Позиции'!$B$5:$B$53,0))="","нет ставки",INDEX('Позиции'!$F$5:$F$53,MATCH($B25,'Позиции'!$B$5:$B$53,0))),"нет ставки"))</f>
        <v/>
      </c>
      <c r="J25" s="23">
        <f>IF($B25="","",IF(AND(ISNUMBER($D25),ISNUMBER($I25),NOT(ISBLANK('Ставки'!$B$6))),$D25*$I25*(1+'Ставки'!$B$6),"нет ставки"))</f>
        <v/>
      </c>
      <c r="K25" s="23">
        <f>IF($B25="","",IF(AND(ISNUMBER($H25),ISNUMBER($J25)),$H25+$J25,"нет ставки"))</f>
        <v/>
      </c>
      <c r="L25" s="23">
        <f>IF($B25="","",IF(AND(ISNUMBER($K25),NOT(ISBLANK('Ставки'!$B$7))),$K25*'Ставки'!$B$7,"нет ставки"))</f>
        <v/>
      </c>
      <c r="M25" s="23">
        <f>IF($B25="","",IF(AND(ISNUMBER($K25),ISNUMBER($L25)),$K25+$L25,"нет ставки"))</f>
        <v/>
      </c>
      <c r="N25" s="23">
        <f>IF($B25="","",IF(AND(ISNUMBER($M25),NOT(ISBLANK('Ставки'!$B$8))),$M25*'Ставки'!$B$8,"нет ставки"))</f>
        <v/>
      </c>
      <c r="O25" s="23">
        <f>IF($B25="","",IF(AND(ISNUMBER($M25),NOT(ISBLANK('Ставки'!$B$9))),$M25*'Ставки'!$B$9,"нет ставки"))</f>
        <v/>
      </c>
      <c r="P25" s="23">
        <f>IF($B25="","",IF(AND(ISNUMBER($M25),ISNUMBER($N25),ISNUMBER($O25)),$M25+$N25+$O25,"нет ставки"))</f>
        <v/>
      </c>
      <c r="Q25" s="23">
        <f>IF($B25="","",IF(AND(ISNUMBER($P25),ISNUMBER($D25)),IF($D25=0,"нет ставки",$P25/$D25),"нет ставки"))</f>
        <v/>
      </c>
    </row>
    <row r="26">
      <c r="A26" s="15" t="n">
        <v>21</v>
      </c>
      <c r="B26" s="18" t="n"/>
      <c r="C26" s="15">
        <f>IF($B26="","",IFERROR(INDEX('Позиции'!$D$5:$D$53,MATCH($B26,'Позиции'!$B$5:$B$53,0)),""))</f>
        <v/>
      </c>
      <c r="D26" s="21" t="n"/>
      <c r="E26" s="18" t="inlineStr">
        <is>
          <t>Geselle</t>
        </is>
      </c>
      <c r="F26" s="22">
        <f>IF($B26="","",IFERROR(IF(INDEX('Позиции'!$E$5:$E$53,MATCH($B26,'Позиции'!$B$5:$B$53,0))="","нет ставки",INDEX('Позиции'!$E$5:$E$53,MATCH($B26,'Позиции'!$B$5:$B$53,0))),"нет ставки"))</f>
        <v/>
      </c>
      <c r="G26" s="23">
        <f>IF($B26="","",IF($E26="Meister",IF(ISBLANK('Ставки'!$B$5),"нет ставки",'Ставки'!$B$5),IF(ISBLANK('Ставки'!$B$4),"нет ставки",'Ставки'!$B$4)))</f>
        <v/>
      </c>
      <c r="H26" s="23">
        <f>IF($B26="","",IF(AND(ISNUMBER($D26),ISNUMBER($F26),ISNUMBER($G26)),$D26*$F26*$G26,"нет ставки"))</f>
        <v/>
      </c>
      <c r="I26" s="23">
        <f>IF($B26="","",IFERROR(IF(INDEX('Позиции'!$F$5:$F$53,MATCH($B26,'Позиции'!$B$5:$B$53,0))="","нет ставки",INDEX('Позиции'!$F$5:$F$53,MATCH($B26,'Позиции'!$B$5:$B$53,0))),"нет ставки"))</f>
        <v/>
      </c>
      <c r="J26" s="23">
        <f>IF($B26="","",IF(AND(ISNUMBER($D26),ISNUMBER($I26),NOT(ISBLANK('Ставки'!$B$6))),$D26*$I26*(1+'Ставки'!$B$6),"нет ставки"))</f>
        <v/>
      </c>
      <c r="K26" s="23">
        <f>IF($B26="","",IF(AND(ISNUMBER($H26),ISNUMBER($J26)),$H26+$J26,"нет ставки"))</f>
        <v/>
      </c>
      <c r="L26" s="23">
        <f>IF($B26="","",IF(AND(ISNUMBER($K26),NOT(ISBLANK('Ставки'!$B$7))),$K26*'Ставки'!$B$7,"нет ставки"))</f>
        <v/>
      </c>
      <c r="M26" s="23">
        <f>IF($B26="","",IF(AND(ISNUMBER($K26),ISNUMBER($L26)),$K26+$L26,"нет ставки"))</f>
        <v/>
      </c>
      <c r="N26" s="23">
        <f>IF($B26="","",IF(AND(ISNUMBER($M26),NOT(ISBLANK('Ставки'!$B$8))),$M26*'Ставки'!$B$8,"нет ставки"))</f>
        <v/>
      </c>
      <c r="O26" s="23">
        <f>IF($B26="","",IF(AND(ISNUMBER($M26),NOT(ISBLANK('Ставки'!$B$9))),$M26*'Ставки'!$B$9,"нет ставки"))</f>
        <v/>
      </c>
      <c r="P26" s="23">
        <f>IF($B26="","",IF(AND(ISNUMBER($M26),ISNUMBER($N26),ISNUMBER($O26)),$M26+$N26+$O26,"нет ставки"))</f>
        <v/>
      </c>
      <c r="Q26" s="23">
        <f>IF($B26="","",IF(AND(ISNUMBER($P26),ISNUMBER($D26)),IF($D26=0,"нет ставки",$P26/$D26),"нет ставки"))</f>
        <v/>
      </c>
    </row>
    <row r="27">
      <c r="A27" s="15" t="n">
        <v>22</v>
      </c>
      <c r="B27" s="18" t="n"/>
      <c r="C27" s="15">
        <f>IF($B27="","",IFERROR(INDEX('Позиции'!$D$5:$D$53,MATCH($B27,'Позиции'!$B$5:$B$53,0)),""))</f>
        <v/>
      </c>
      <c r="D27" s="21" t="n"/>
      <c r="E27" s="18" t="inlineStr">
        <is>
          <t>Geselle</t>
        </is>
      </c>
      <c r="F27" s="22">
        <f>IF($B27="","",IFERROR(IF(INDEX('Позиции'!$E$5:$E$53,MATCH($B27,'Позиции'!$B$5:$B$53,0))="","нет ставки",INDEX('Позиции'!$E$5:$E$53,MATCH($B27,'Позиции'!$B$5:$B$53,0))),"нет ставки"))</f>
        <v/>
      </c>
      <c r="G27" s="23">
        <f>IF($B27="","",IF($E27="Meister",IF(ISBLANK('Ставки'!$B$5),"нет ставки",'Ставки'!$B$5),IF(ISBLANK('Ставки'!$B$4),"нет ставки",'Ставки'!$B$4)))</f>
        <v/>
      </c>
      <c r="H27" s="23">
        <f>IF($B27="","",IF(AND(ISNUMBER($D27),ISNUMBER($F27),ISNUMBER($G27)),$D27*$F27*$G27,"нет ставки"))</f>
        <v/>
      </c>
      <c r="I27" s="23">
        <f>IF($B27="","",IFERROR(IF(INDEX('Позиции'!$F$5:$F$53,MATCH($B27,'Позиции'!$B$5:$B$53,0))="","нет ставки",INDEX('Позиции'!$F$5:$F$53,MATCH($B27,'Позиции'!$B$5:$B$53,0))),"нет ставки"))</f>
        <v/>
      </c>
      <c r="J27" s="23">
        <f>IF($B27="","",IF(AND(ISNUMBER($D27),ISNUMBER($I27),NOT(ISBLANK('Ставки'!$B$6))),$D27*$I27*(1+'Ставки'!$B$6),"нет ставки"))</f>
        <v/>
      </c>
      <c r="K27" s="23">
        <f>IF($B27="","",IF(AND(ISNUMBER($H27),ISNUMBER($J27)),$H27+$J27,"нет ставки"))</f>
        <v/>
      </c>
      <c r="L27" s="23">
        <f>IF($B27="","",IF(AND(ISNUMBER($K27),NOT(ISBLANK('Ставки'!$B$7))),$K27*'Ставки'!$B$7,"нет ставки"))</f>
        <v/>
      </c>
      <c r="M27" s="23">
        <f>IF($B27="","",IF(AND(ISNUMBER($K27),ISNUMBER($L27)),$K27+$L27,"нет ставки"))</f>
        <v/>
      </c>
      <c r="N27" s="23">
        <f>IF($B27="","",IF(AND(ISNUMBER($M27),NOT(ISBLANK('Ставки'!$B$8))),$M27*'Ставки'!$B$8,"нет ставки"))</f>
        <v/>
      </c>
      <c r="O27" s="23">
        <f>IF($B27="","",IF(AND(ISNUMBER($M27),NOT(ISBLANK('Ставки'!$B$9))),$M27*'Ставки'!$B$9,"нет ставки"))</f>
        <v/>
      </c>
      <c r="P27" s="23">
        <f>IF($B27="","",IF(AND(ISNUMBER($M27),ISNUMBER($N27),ISNUMBER($O27)),$M27+$N27+$O27,"нет ставки"))</f>
        <v/>
      </c>
      <c r="Q27" s="23">
        <f>IF($B27="","",IF(AND(ISNUMBER($P27),ISNUMBER($D27)),IF($D27=0,"нет ставки",$P27/$D27),"нет ставки"))</f>
        <v/>
      </c>
    </row>
    <row r="28">
      <c r="A28" s="15" t="n">
        <v>23</v>
      </c>
      <c r="B28" s="18" t="n"/>
      <c r="C28" s="15">
        <f>IF($B28="","",IFERROR(INDEX('Позиции'!$D$5:$D$53,MATCH($B28,'Позиции'!$B$5:$B$53,0)),""))</f>
        <v/>
      </c>
      <c r="D28" s="21" t="n"/>
      <c r="E28" s="18" t="inlineStr">
        <is>
          <t>Geselle</t>
        </is>
      </c>
      <c r="F28" s="22">
        <f>IF($B28="","",IFERROR(IF(INDEX('Позиции'!$E$5:$E$53,MATCH($B28,'Позиции'!$B$5:$B$53,0))="","нет ставки",INDEX('Позиции'!$E$5:$E$53,MATCH($B28,'Позиции'!$B$5:$B$53,0))),"нет ставки"))</f>
        <v/>
      </c>
      <c r="G28" s="23">
        <f>IF($B28="","",IF($E28="Meister",IF(ISBLANK('Ставки'!$B$5),"нет ставки",'Ставки'!$B$5),IF(ISBLANK('Ставки'!$B$4),"нет ставки",'Ставки'!$B$4)))</f>
        <v/>
      </c>
      <c r="H28" s="23">
        <f>IF($B28="","",IF(AND(ISNUMBER($D28),ISNUMBER($F28),ISNUMBER($G28)),$D28*$F28*$G28,"нет ставки"))</f>
        <v/>
      </c>
      <c r="I28" s="23">
        <f>IF($B28="","",IFERROR(IF(INDEX('Позиции'!$F$5:$F$53,MATCH($B28,'Позиции'!$B$5:$B$53,0))="","нет ставки",INDEX('Позиции'!$F$5:$F$53,MATCH($B28,'Позиции'!$B$5:$B$53,0))),"нет ставки"))</f>
        <v/>
      </c>
      <c r="J28" s="23">
        <f>IF($B28="","",IF(AND(ISNUMBER($D28),ISNUMBER($I28),NOT(ISBLANK('Ставки'!$B$6))),$D28*$I28*(1+'Ставки'!$B$6),"нет ставки"))</f>
        <v/>
      </c>
      <c r="K28" s="23">
        <f>IF($B28="","",IF(AND(ISNUMBER($H28),ISNUMBER($J28)),$H28+$J28,"нет ставки"))</f>
        <v/>
      </c>
      <c r="L28" s="23">
        <f>IF($B28="","",IF(AND(ISNUMBER($K28),NOT(ISBLANK('Ставки'!$B$7))),$K28*'Ставки'!$B$7,"нет ставки"))</f>
        <v/>
      </c>
      <c r="M28" s="23">
        <f>IF($B28="","",IF(AND(ISNUMBER($K28),ISNUMBER($L28)),$K28+$L28,"нет ставки"))</f>
        <v/>
      </c>
      <c r="N28" s="23">
        <f>IF($B28="","",IF(AND(ISNUMBER($M28),NOT(ISBLANK('Ставки'!$B$8))),$M28*'Ставки'!$B$8,"нет ставки"))</f>
        <v/>
      </c>
      <c r="O28" s="23">
        <f>IF($B28="","",IF(AND(ISNUMBER($M28),NOT(ISBLANK('Ставки'!$B$9))),$M28*'Ставки'!$B$9,"нет ставки"))</f>
        <v/>
      </c>
      <c r="P28" s="23">
        <f>IF($B28="","",IF(AND(ISNUMBER($M28),ISNUMBER($N28),ISNUMBER($O28)),$M28+$N28+$O28,"нет ставки"))</f>
        <v/>
      </c>
      <c r="Q28" s="23">
        <f>IF($B28="","",IF(AND(ISNUMBER($P28),ISNUMBER($D28)),IF($D28=0,"нет ставки",$P28/$D28),"нет ставки"))</f>
        <v/>
      </c>
    </row>
    <row r="29">
      <c r="A29" s="15" t="n">
        <v>24</v>
      </c>
      <c r="B29" s="18" t="n"/>
      <c r="C29" s="15">
        <f>IF($B29="","",IFERROR(INDEX('Позиции'!$D$5:$D$53,MATCH($B29,'Позиции'!$B$5:$B$53,0)),""))</f>
        <v/>
      </c>
      <c r="D29" s="21" t="n"/>
      <c r="E29" s="18" t="inlineStr">
        <is>
          <t>Geselle</t>
        </is>
      </c>
      <c r="F29" s="22">
        <f>IF($B29="","",IFERROR(IF(INDEX('Позиции'!$E$5:$E$53,MATCH($B29,'Позиции'!$B$5:$B$53,0))="","нет ставки",INDEX('Позиции'!$E$5:$E$53,MATCH($B29,'Позиции'!$B$5:$B$53,0))),"нет ставки"))</f>
        <v/>
      </c>
      <c r="G29" s="23">
        <f>IF($B29="","",IF($E29="Meister",IF(ISBLANK('Ставки'!$B$5),"нет ставки",'Ставки'!$B$5),IF(ISBLANK('Ставки'!$B$4),"нет ставки",'Ставки'!$B$4)))</f>
        <v/>
      </c>
      <c r="H29" s="23">
        <f>IF($B29="","",IF(AND(ISNUMBER($D29),ISNUMBER($F29),ISNUMBER($G29)),$D29*$F29*$G29,"нет ставки"))</f>
        <v/>
      </c>
      <c r="I29" s="23">
        <f>IF($B29="","",IFERROR(IF(INDEX('Позиции'!$F$5:$F$53,MATCH($B29,'Позиции'!$B$5:$B$53,0))="","нет ставки",INDEX('Позиции'!$F$5:$F$53,MATCH($B29,'Позиции'!$B$5:$B$53,0))),"нет ставки"))</f>
        <v/>
      </c>
      <c r="J29" s="23">
        <f>IF($B29="","",IF(AND(ISNUMBER($D29),ISNUMBER($I29),NOT(ISBLANK('Ставки'!$B$6))),$D29*$I29*(1+'Ставки'!$B$6),"нет ставки"))</f>
        <v/>
      </c>
      <c r="K29" s="23">
        <f>IF($B29="","",IF(AND(ISNUMBER($H29),ISNUMBER($J29)),$H29+$J29,"нет ставки"))</f>
        <v/>
      </c>
      <c r="L29" s="23">
        <f>IF($B29="","",IF(AND(ISNUMBER($K29),NOT(ISBLANK('Ставки'!$B$7))),$K29*'Ставки'!$B$7,"нет ставки"))</f>
        <v/>
      </c>
      <c r="M29" s="23">
        <f>IF($B29="","",IF(AND(ISNUMBER($K29),ISNUMBER($L29)),$K29+$L29,"нет ставки"))</f>
        <v/>
      </c>
      <c r="N29" s="23">
        <f>IF($B29="","",IF(AND(ISNUMBER($M29),NOT(ISBLANK('Ставки'!$B$8))),$M29*'Ставки'!$B$8,"нет ставки"))</f>
        <v/>
      </c>
      <c r="O29" s="23">
        <f>IF($B29="","",IF(AND(ISNUMBER($M29),NOT(ISBLANK('Ставки'!$B$9))),$M29*'Ставки'!$B$9,"нет ставки"))</f>
        <v/>
      </c>
      <c r="P29" s="23">
        <f>IF($B29="","",IF(AND(ISNUMBER($M29),ISNUMBER($N29),ISNUMBER($O29)),$M29+$N29+$O29,"нет ставки"))</f>
        <v/>
      </c>
      <c r="Q29" s="23">
        <f>IF($B29="","",IF(AND(ISNUMBER($P29),ISNUMBER($D29)),IF($D29=0,"нет ставки",$P29/$D29),"нет ставки"))</f>
        <v/>
      </c>
    </row>
    <row r="30">
      <c r="A30" s="15" t="n">
        <v>25</v>
      </c>
      <c r="B30" s="18" t="n"/>
      <c r="C30" s="15">
        <f>IF($B30="","",IFERROR(INDEX('Позиции'!$D$5:$D$53,MATCH($B30,'Позиции'!$B$5:$B$53,0)),""))</f>
        <v/>
      </c>
      <c r="D30" s="21" t="n"/>
      <c r="E30" s="18" t="inlineStr">
        <is>
          <t>Geselle</t>
        </is>
      </c>
      <c r="F30" s="22">
        <f>IF($B30="","",IFERROR(IF(INDEX('Позиции'!$E$5:$E$53,MATCH($B30,'Позиции'!$B$5:$B$53,0))="","нет ставки",INDEX('Позиции'!$E$5:$E$53,MATCH($B30,'Позиции'!$B$5:$B$53,0))),"нет ставки"))</f>
        <v/>
      </c>
      <c r="G30" s="23">
        <f>IF($B30="","",IF($E30="Meister",IF(ISBLANK('Ставки'!$B$5),"нет ставки",'Ставки'!$B$5),IF(ISBLANK('Ставки'!$B$4),"нет ставки",'Ставки'!$B$4)))</f>
        <v/>
      </c>
      <c r="H30" s="23">
        <f>IF($B30="","",IF(AND(ISNUMBER($D30),ISNUMBER($F30),ISNUMBER($G30)),$D30*$F30*$G30,"нет ставки"))</f>
        <v/>
      </c>
      <c r="I30" s="23">
        <f>IF($B30="","",IFERROR(IF(INDEX('Позиции'!$F$5:$F$53,MATCH($B30,'Позиции'!$B$5:$B$53,0))="","нет ставки",INDEX('Позиции'!$F$5:$F$53,MATCH($B30,'Позиции'!$B$5:$B$53,0))),"нет ставки"))</f>
        <v/>
      </c>
      <c r="J30" s="23">
        <f>IF($B30="","",IF(AND(ISNUMBER($D30),ISNUMBER($I30),NOT(ISBLANK('Ставки'!$B$6))),$D30*$I30*(1+'Ставки'!$B$6),"нет ставки"))</f>
        <v/>
      </c>
      <c r="K30" s="23">
        <f>IF($B30="","",IF(AND(ISNUMBER($H30),ISNUMBER($J30)),$H30+$J30,"нет ставки"))</f>
        <v/>
      </c>
      <c r="L30" s="23">
        <f>IF($B30="","",IF(AND(ISNUMBER($K30),NOT(ISBLANK('Ставки'!$B$7))),$K30*'Ставки'!$B$7,"нет ставки"))</f>
        <v/>
      </c>
      <c r="M30" s="23">
        <f>IF($B30="","",IF(AND(ISNUMBER($K30),ISNUMBER($L30)),$K30+$L30,"нет ставки"))</f>
        <v/>
      </c>
      <c r="N30" s="23">
        <f>IF($B30="","",IF(AND(ISNUMBER($M30),NOT(ISBLANK('Ставки'!$B$8))),$M30*'Ставки'!$B$8,"нет ставки"))</f>
        <v/>
      </c>
      <c r="O30" s="23">
        <f>IF($B30="","",IF(AND(ISNUMBER($M30),NOT(ISBLANK('Ставки'!$B$9))),$M30*'Ставки'!$B$9,"нет ставки"))</f>
        <v/>
      </c>
      <c r="P30" s="23">
        <f>IF($B30="","",IF(AND(ISNUMBER($M30),ISNUMBER($N30),ISNUMBER($O30)),$M30+$N30+$O30,"нет ставки"))</f>
        <v/>
      </c>
      <c r="Q30" s="23">
        <f>IF($B30="","",IF(AND(ISNUMBER($P30),ISNUMBER($D30)),IF($D30=0,"нет ставки",$P30/$D30),"нет ставки"))</f>
        <v/>
      </c>
    </row>
    <row r="32">
      <c r="A32" s="6" t="inlineStr">
        <is>
          <t>Fahrtkosten / транспорт</t>
        </is>
      </c>
    </row>
    <row r="33">
      <c r="B33" t="inlineStr">
        <is>
          <t>Entfernung einfach, km (от базы до объекта)</t>
        </is>
      </c>
      <c r="D33" s="18" t="n"/>
    </row>
    <row r="34">
      <c r="B34" t="inlineStr">
        <is>
          <t>Anzahl Fahrten (туда-обратно)</t>
        </is>
      </c>
      <c r="D34" s="18" t="n"/>
    </row>
    <row r="35">
      <c r="B35" t="inlineStr">
        <is>
          <t>Fahrtkosten € = km × 2 × Fahrten × €/km</t>
        </is>
      </c>
      <c r="D35" s="24">
        <f>IF(AND(ISBLANK(D33),ISBLANK(D34)),0,IF(AND(ISNUMBER(D33),ISNUMBER(D34),NOT(ISBLANK('Ставки'!$B$10))),D33*2*D34*'Ставки'!$B$10,"нет ставки"))</f>
        <v/>
      </c>
      <c r="E35" s="2" t="inlineStr">
        <is>
          <t>пусто = без транспорта</t>
        </is>
      </c>
    </row>
    <row r="37">
      <c r="A37" s="25" t="inlineStr">
        <is>
          <t>Итог / Zusammenfassung</t>
        </is>
      </c>
    </row>
    <row r="38">
      <c r="B38" s="6" t="inlineStr">
        <is>
          <t>Lohn gesamt</t>
        </is>
      </c>
      <c r="D38" s="26">
        <f>IF(OR(COUNTIF(P6:P30,"нет ставки")&gt;0,COUNTA(B6:B30)=0,NOT(ISNUMBER($D$35))),"нет ставки",SUM(H6:H30))</f>
        <v/>
      </c>
      <c r="E38" s="7" t="inlineStr">
        <is>
          <t>работа</t>
        </is>
      </c>
    </row>
    <row r="39">
      <c r="B39" s="6" t="inlineStr">
        <is>
          <t>Material inkl. Aufschlag gesamt</t>
        </is>
      </c>
      <c r="D39" s="26">
        <f>IF(OR(COUNTIF(P6:P30,"нет ставки")&gt;0,COUNTA(B6:B30)=0,NOT(ISNUMBER($D$35))),"нет ставки",SUM(J6:J30))</f>
        <v/>
      </c>
      <c r="E39" s="7" t="inlineStr">
        <is>
          <t>материал с наценкой</t>
        </is>
      </c>
    </row>
    <row r="40">
      <c r="B40" s="6" t="inlineStr">
        <is>
          <t>Gemeinkosten gesamt</t>
        </is>
      </c>
      <c r="D40" s="26">
        <f>IF(OR(COUNTIF(P6:P30,"нет ставки")&gt;0,COUNTA(B6:B30)=0,NOT(ISNUMBER($D$35))),"нет ставки",SUM(L6:L30))</f>
        <v/>
      </c>
      <c r="E40" s="7" t="inlineStr">
        <is>
          <t>накладные</t>
        </is>
      </c>
    </row>
    <row r="41">
      <c r="B41" s="6" t="inlineStr">
        <is>
          <t>Fahrtkosten</t>
        </is>
      </c>
      <c r="D41" s="26">
        <f>$D$35</f>
        <v/>
      </c>
      <c r="E41" s="7" t="inlineStr">
        <is>
          <t>транспорт</t>
        </is>
      </c>
    </row>
    <row r="42">
      <c r="B42" s="6" t="inlineStr">
        <is>
          <t>Selbstkosten gesamt</t>
        </is>
      </c>
      <c r="D42" s="26">
        <f>IF(OR(COUNTIF(P6:P30,"нет ставки")&gt;0,COUNTA(B6:B30)=0,NOT(ISNUMBER($D$35))),"нет ставки",SUM(M6:M30)+$D$35)</f>
        <v/>
      </c>
      <c r="E42" s="7" t="inlineStr">
        <is>
          <t>себестоимость = Lohn + Material + GK + Fahrt</t>
        </is>
      </c>
    </row>
    <row r="43">
      <c r="B43" s="6" t="inlineStr">
        <is>
          <t>Wagnis</t>
        </is>
      </c>
      <c r="D43" s="26">
        <f>IF(OR(COUNTIF(P6:P30,"нет ставки")&gt;0,COUNTA(B6:B30)=0,NOT(ISNUMBER($D$35))),"нет ставки",SUM(N6:N30)+$D$35*'Ставки'!$B$8)</f>
        <v/>
      </c>
      <c r="E43" s="7" t="inlineStr">
        <is>
          <t>риск</t>
        </is>
      </c>
    </row>
    <row r="44">
      <c r="B44" s="6" t="inlineStr">
        <is>
          <t>Gewinn (geplant)</t>
        </is>
      </c>
      <c r="D44" s="26">
        <f>IF(OR(COUNTIF(P6:P30,"нет ставки")&gt;0,COUNTA(B6:B30)=0,NOT(ISNUMBER($D$35))),"нет ставки",SUM(O6:O30)+$D$35*'Ставки'!$B$9)</f>
        <v/>
      </c>
      <c r="E44" s="7" t="inlineStr">
        <is>
          <t>плановая прибыль</t>
        </is>
      </c>
    </row>
    <row r="45">
      <c r="B45" s="6" t="inlineStr">
        <is>
          <t>Angebotssumme netto</t>
        </is>
      </c>
      <c r="D45" s="26">
        <f>IF(OR(COUNTIF(P6:P30,"нет ставки")&gt;0,COUNTA(B6:B30)=0,NOT(ISNUMBER($D$35))),"нет ставки",SUM(P6:P30)+$D$35*(1+'Ставки'!$B$8+'Ставки'!$B$9))</f>
        <v/>
      </c>
      <c r="E45" s="7" t="inlineStr">
        <is>
          <t>Netto</t>
        </is>
      </c>
    </row>
    <row r="46">
      <c r="B46" s="6" t="inlineStr">
        <is>
          <t>MwSt</t>
        </is>
      </c>
      <c r="D46" s="26">
        <f>IF(ISNUMBER(D45),D45*'Ставки'!$B$13,"нет ставки")</f>
        <v/>
      </c>
      <c r="E46" s="7" t="inlineStr">
        <is>
          <t>НДС</t>
        </is>
      </c>
    </row>
    <row r="47">
      <c r="B47" s="6" t="inlineStr">
        <is>
          <t>Angebotssumme brutto</t>
        </is>
      </c>
      <c r="D47" s="26">
        <f>IF(ISNUMBER(D45),D45+D46,"нет ставки")</f>
        <v/>
      </c>
      <c r="E47" s="7" t="inlineStr">
        <is>
          <t>Brutto</t>
        </is>
      </c>
    </row>
    <row r="48">
      <c r="B48" s="6" t="inlineStr">
        <is>
          <t>Profit € (Netto − Selbstkosten)</t>
        </is>
      </c>
      <c r="D48" s="26">
        <f>IF(ISNUMBER(D45),D45-D42,"нет ставки")</f>
        <v/>
      </c>
      <c r="E48" s="7" t="inlineStr">
        <is>
          <t>прибыль € (Wagnis + Gewinn, если риск не случился)</t>
        </is>
      </c>
    </row>
    <row r="49">
      <c r="B49" s="6" t="inlineStr">
        <is>
          <t>Marge % (Profit / Netto)</t>
        </is>
      </c>
      <c r="D49" s="27">
        <f>IF(ISNUMBER(D45),IF(D45=0,"нет ставки",D48/D45),"нет ставки")</f>
        <v/>
      </c>
      <c r="E49" s="7" t="inlineStr">
        <is>
          <t>маржа %</t>
        </is>
      </c>
    </row>
    <row r="51">
      <c r="B51" s="2" t="inlineStr">
        <is>
          <t>Fahrtkosten в Angebot идут отдельной строкой «Anfahrt» по цене Fahrt × (1 + Wagnis + Gewinn). Gemeinkosten считаются от Lohn + Material; Wagnis и Gewinn — от Selbstkosten.</t>
        </is>
      </c>
    </row>
  </sheetData>
  <mergeCells count="1">
    <mergeCell ref="C2:H2"/>
  </mergeCells>
  <dataValidations count="2">
    <dataValidation sqref="B6:B30" showDropDown="0" showInputMessage="0" showErrorMessage="0" allowBlank="1" type="list">
      <formula1>'Позиции'!$B$5:$B$53</formula1>
    </dataValidation>
    <dataValidation sqref="E6:E30" showDropDown="0" showInputMessage="0" showErrorMessage="0" allowBlank="1" type="list">
      <formula1>"Geselle,Meister"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0" customWidth="1" min="3" max="3"/>
    <col width="9" customWidth="1" min="4" max="4"/>
    <col width="18" customWidth="1" min="5" max="5"/>
    <col width="18" customWidth="1" min="6" max="6"/>
  </cols>
  <sheetData>
    <row r="1">
      <c r="A1" s="1" t="inlineStr">
        <is>
          <t>[Firma]</t>
        </is>
      </c>
    </row>
    <row r="2">
      <c r="A2" s="4" t="inlineStr">
        <is>
          <t>[Adresse] · [PLZ Ort] · Tel. [Telefon] · [E-Mail]</t>
        </is>
      </c>
    </row>
    <row r="3">
      <c r="A3" s="4" t="inlineStr">
        <is>
          <t>USt-IdNr.: [USt-IdNr] · Steuernummer: [Steuernummer]</t>
        </is>
      </c>
    </row>
    <row r="5">
      <c r="A5" s="4" t="inlineStr">
        <is>
          <t>An: [Kunde Name]</t>
        </is>
      </c>
      <c r="E5" s="6" t="inlineStr">
        <is>
          <t>Datum:</t>
        </is>
      </c>
      <c r="F5" s="28">
        <f>TODAY()</f>
        <v/>
      </c>
    </row>
    <row r="6">
      <c r="A6" s="4" t="inlineStr">
        <is>
          <t>[Kunde Adresse]</t>
        </is>
      </c>
      <c r="E6" s="6" t="inlineStr">
        <is>
          <t>Angebots-Nr.:</t>
        </is>
      </c>
      <c r="F6" s="4" t="inlineStr">
        <is>
          <t>[Nr.]</t>
        </is>
      </c>
    </row>
    <row r="8">
      <c r="A8" s="29" t="inlineStr">
        <is>
          <t>ANGEBOT</t>
        </is>
      </c>
    </row>
    <row r="9">
      <c r="A9" s="6">
        <f>'Расчёт'!C2</f>
        <v/>
      </c>
      <c r="B9" s="30" t="inlineStr">
        <is>
          <t>← Bauvorhaben (из листа «Расчёт», C2)</t>
        </is>
      </c>
    </row>
    <row r="10">
      <c r="A10" s="4" t="inlineStr">
        <is>
          <t>Sehr geehrte Damen und Herren,</t>
        </is>
      </c>
    </row>
    <row r="11">
      <c r="A11" s="4" t="inlineStr">
        <is>
          <t>vielen Dank für Ihre Anfrage. Gerne bieten wir Ihnen folgende Leistungen an:</t>
        </is>
      </c>
    </row>
    <row r="13">
      <c r="A13" s="3" t="inlineStr">
        <is>
          <t>Pos.</t>
        </is>
      </c>
      <c r="B13" s="3" t="inlineStr">
        <is>
          <t>Bezeichnung</t>
        </is>
      </c>
      <c r="C13" s="3" t="inlineStr">
        <is>
          <t>Menge</t>
        </is>
      </c>
      <c r="D13" s="3" t="inlineStr">
        <is>
          <t>Einheit</t>
        </is>
      </c>
      <c r="E13" s="3" t="inlineStr">
        <is>
          <t>Einheitspreis €</t>
        </is>
      </c>
      <c r="F13" s="3" t="inlineStr">
        <is>
          <t>Gesamtpreis €</t>
        </is>
      </c>
    </row>
    <row r="14">
      <c r="A14" s="15">
        <f>IF('Расчёт'!B6="","",'Расчёт'!A6)</f>
        <v/>
      </c>
      <c r="B14" s="31">
        <f>IF('Расчёт'!B6="","",'Расчёт'!B6)</f>
        <v/>
      </c>
      <c r="C14" s="32">
        <f>IF('Расчёт'!B6="","",'Расчёт'!D6)</f>
        <v/>
      </c>
      <c r="D14" s="15">
        <f>IF('Расчёт'!B6="","",'Расчёт'!C6)</f>
        <v/>
      </c>
      <c r="E14" s="23">
        <f>IF('Расчёт'!B6="","",'Расчёт'!Q6)</f>
        <v/>
      </c>
      <c r="F14" s="23">
        <f>IF('Расчёт'!B6="","",'Расчёт'!P6)</f>
        <v/>
      </c>
    </row>
    <row r="15">
      <c r="A15" s="15">
        <f>IF('Расчёт'!B7="","",'Расчёт'!A7)</f>
        <v/>
      </c>
      <c r="B15" s="31">
        <f>IF('Расчёт'!B7="","",'Расчёт'!B7)</f>
        <v/>
      </c>
      <c r="C15" s="32">
        <f>IF('Расчёт'!B7="","",'Расчёт'!D7)</f>
        <v/>
      </c>
      <c r="D15" s="15">
        <f>IF('Расчёт'!B7="","",'Расчёт'!C7)</f>
        <v/>
      </c>
      <c r="E15" s="23">
        <f>IF('Расчёт'!B7="","",'Расчёт'!Q7)</f>
        <v/>
      </c>
      <c r="F15" s="23">
        <f>IF('Расчёт'!B7="","",'Расчёт'!P7)</f>
        <v/>
      </c>
    </row>
    <row r="16">
      <c r="A16" s="15">
        <f>IF('Расчёт'!B8="","",'Расчёт'!A8)</f>
        <v/>
      </c>
      <c r="B16" s="31">
        <f>IF('Расчёт'!B8="","",'Расчёт'!B8)</f>
        <v/>
      </c>
      <c r="C16" s="32">
        <f>IF('Расчёт'!B8="","",'Расчёт'!D8)</f>
        <v/>
      </c>
      <c r="D16" s="15">
        <f>IF('Расчёт'!B8="","",'Расчёт'!C8)</f>
        <v/>
      </c>
      <c r="E16" s="23">
        <f>IF('Расчёт'!B8="","",'Расчёт'!Q8)</f>
        <v/>
      </c>
      <c r="F16" s="23">
        <f>IF('Расчёт'!B8="","",'Расчёт'!P8)</f>
        <v/>
      </c>
    </row>
    <row r="17">
      <c r="A17" s="15">
        <f>IF('Расчёт'!B9="","",'Расчёт'!A9)</f>
        <v/>
      </c>
      <c r="B17" s="31">
        <f>IF('Расчёт'!B9="","",'Расчёт'!B9)</f>
        <v/>
      </c>
      <c r="C17" s="32">
        <f>IF('Расчёт'!B9="","",'Расчёт'!D9)</f>
        <v/>
      </c>
      <c r="D17" s="15">
        <f>IF('Расчёт'!B9="","",'Расчёт'!C9)</f>
        <v/>
      </c>
      <c r="E17" s="23">
        <f>IF('Расчёт'!B9="","",'Расчёт'!Q9)</f>
        <v/>
      </c>
      <c r="F17" s="23">
        <f>IF('Расчёт'!B9="","",'Расчёт'!P9)</f>
        <v/>
      </c>
    </row>
    <row r="18">
      <c r="A18" s="15">
        <f>IF('Расчёт'!B10="","",'Расчёт'!A10)</f>
        <v/>
      </c>
      <c r="B18" s="31">
        <f>IF('Расчёт'!B10="","",'Расчёт'!B10)</f>
        <v/>
      </c>
      <c r="C18" s="32">
        <f>IF('Расчёт'!B10="","",'Расчёт'!D10)</f>
        <v/>
      </c>
      <c r="D18" s="15">
        <f>IF('Расчёт'!B10="","",'Расчёт'!C10)</f>
        <v/>
      </c>
      <c r="E18" s="23">
        <f>IF('Расчёт'!B10="","",'Расчёт'!Q10)</f>
        <v/>
      </c>
      <c r="F18" s="23">
        <f>IF('Расчёт'!B10="","",'Расчёт'!P10)</f>
        <v/>
      </c>
    </row>
    <row r="19">
      <c r="A19" s="15">
        <f>IF('Расчёт'!B11="","",'Расчёт'!A11)</f>
        <v/>
      </c>
      <c r="B19" s="31">
        <f>IF('Расчёт'!B11="","",'Расчёт'!B11)</f>
        <v/>
      </c>
      <c r="C19" s="32">
        <f>IF('Расчёт'!B11="","",'Расчёт'!D11)</f>
        <v/>
      </c>
      <c r="D19" s="15">
        <f>IF('Расчёт'!B11="","",'Расчёт'!C11)</f>
        <v/>
      </c>
      <c r="E19" s="23">
        <f>IF('Расчёт'!B11="","",'Расчёт'!Q11)</f>
        <v/>
      </c>
      <c r="F19" s="23">
        <f>IF('Расчёт'!B11="","",'Расчёт'!P11)</f>
        <v/>
      </c>
    </row>
    <row r="20">
      <c r="A20" s="15">
        <f>IF('Расчёт'!B12="","",'Расчёт'!A12)</f>
        <v/>
      </c>
      <c r="B20" s="31">
        <f>IF('Расчёт'!B12="","",'Расчёт'!B12)</f>
        <v/>
      </c>
      <c r="C20" s="32">
        <f>IF('Расчёт'!B12="","",'Расчёт'!D12)</f>
        <v/>
      </c>
      <c r="D20" s="15">
        <f>IF('Расчёт'!B12="","",'Расчёт'!C12)</f>
        <v/>
      </c>
      <c r="E20" s="23">
        <f>IF('Расчёт'!B12="","",'Расчёт'!Q12)</f>
        <v/>
      </c>
      <c r="F20" s="23">
        <f>IF('Расчёт'!B12="","",'Расчёт'!P12)</f>
        <v/>
      </c>
    </row>
    <row r="21">
      <c r="A21" s="15">
        <f>IF('Расчёт'!B13="","",'Расчёт'!A13)</f>
        <v/>
      </c>
      <c r="B21" s="31">
        <f>IF('Расчёт'!B13="","",'Расчёт'!B13)</f>
        <v/>
      </c>
      <c r="C21" s="32">
        <f>IF('Расчёт'!B13="","",'Расчёт'!D13)</f>
        <v/>
      </c>
      <c r="D21" s="15">
        <f>IF('Расчёт'!B13="","",'Расчёт'!C13)</f>
        <v/>
      </c>
      <c r="E21" s="23">
        <f>IF('Расчёт'!B13="","",'Расчёт'!Q13)</f>
        <v/>
      </c>
      <c r="F21" s="23">
        <f>IF('Расчёт'!B13="","",'Расчёт'!P13)</f>
        <v/>
      </c>
    </row>
    <row r="22">
      <c r="A22" s="15">
        <f>IF('Расчёт'!B14="","",'Расчёт'!A14)</f>
        <v/>
      </c>
      <c r="B22" s="31">
        <f>IF('Расчёт'!B14="","",'Расчёт'!B14)</f>
        <v/>
      </c>
      <c r="C22" s="32">
        <f>IF('Расчёт'!B14="","",'Расчёт'!D14)</f>
        <v/>
      </c>
      <c r="D22" s="15">
        <f>IF('Расчёт'!B14="","",'Расчёт'!C14)</f>
        <v/>
      </c>
      <c r="E22" s="23">
        <f>IF('Расчёт'!B14="","",'Расчёт'!Q14)</f>
        <v/>
      </c>
      <c r="F22" s="23">
        <f>IF('Расчёт'!B14="","",'Расчёт'!P14)</f>
        <v/>
      </c>
    </row>
    <row r="23">
      <c r="A23" s="15">
        <f>IF('Расчёт'!B15="","",'Расчёт'!A15)</f>
        <v/>
      </c>
      <c r="B23" s="31">
        <f>IF('Расчёт'!B15="","",'Расчёт'!B15)</f>
        <v/>
      </c>
      <c r="C23" s="32">
        <f>IF('Расчёт'!B15="","",'Расчёт'!D15)</f>
        <v/>
      </c>
      <c r="D23" s="15">
        <f>IF('Расчёт'!B15="","",'Расчёт'!C15)</f>
        <v/>
      </c>
      <c r="E23" s="23">
        <f>IF('Расчёт'!B15="","",'Расчёт'!Q15)</f>
        <v/>
      </c>
      <c r="F23" s="23">
        <f>IF('Расчёт'!B15="","",'Расчёт'!P15)</f>
        <v/>
      </c>
    </row>
    <row r="24">
      <c r="A24" s="15">
        <f>IF('Расчёт'!B16="","",'Расчёт'!A16)</f>
        <v/>
      </c>
      <c r="B24" s="31">
        <f>IF('Расчёт'!B16="","",'Расчёт'!B16)</f>
        <v/>
      </c>
      <c r="C24" s="32">
        <f>IF('Расчёт'!B16="","",'Расчёт'!D16)</f>
        <v/>
      </c>
      <c r="D24" s="15">
        <f>IF('Расчёт'!B16="","",'Расчёт'!C16)</f>
        <v/>
      </c>
      <c r="E24" s="23">
        <f>IF('Расчёт'!B16="","",'Расчёт'!Q16)</f>
        <v/>
      </c>
      <c r="F24" s="23">
        <f>IF('Расчёт'!B16="","",'Расчёт'!P16)</f>
        <v/>
      </c>
    </row>
    <row r="25">
      <c r="A25" s="15">
        <f>IF('Расчёт'!B17="","",'Расчёт'!A17)</f>
        <v/>
      </c>
      <c r="B25" s="31">
        <f>IF('Расчёт'!B17="","",'Расчёт'!B17)</f>
        <v/>
      </c>
      <c r="C25" s="32">
        <f>IF('Расчёт'!B17="","",'Расчёт'!D17)</f>
        <v/>
      </c>
      <c r="D25" s="15">
        <f>IF('Расчёт'!B17="","",'Расчёт'!C17)</f>
        <v/>
      </c>
      <c r="E25" s="23">
        <f>IF('Расчёт'!B17="","",'Расчёт'!Q17)</f>
        <v/>
      </c>
      <c r="F25" s="23">
        <f>IF('Расчёт'!B17="","",'Расчёт'!P17)</f>
        <v/>
      </c>
    </row>
    <row r="26">
      <c r="A26" s="15">
        <f>IF('Расчёт'!B18="","",'Расчёт'!A18)</f>
        <v/>
      </c>
      <c r="B26" s="31">
        <f>IF('Расчёт'!B18="","",'Расчёт'!B18)</f>
        <v/>
      </c>
      <c r="C26" s="32">
        <f>IF('Расчёт'!B18="","",'Расчёт'!D18)</f>
        <v/>
      </c>
      <c r="D26" s="15">
        <f>IF('Расчёт'!B18="","",'Расчёт'!C18)</f>
        <v/>
      </c>
      <c r="E26" s="23">
        <f>IF('Расчёт'!B18="","",'Расчёт'!Q18)</f>
        <v/>
      </c>
      <c r="F26" s="23">
        <f>IF('Расчёт'!B18="","",'Расчёт'!P18)</f>
        <v/>
      </c>
    </row>
    <row r="27">
      <c r="A27" s="15">
        <f>IF('Расчёт'!B19="","",'Расчёт'!A19)</f>
        <v/>
      </c>
      <c r="B27" s="31">
        <f>IF('Расчёт'!B19="","",'Расчёт'!B19)</f>
        <v/>
      </c>
      <c r="C27" s="32">
        <f>IF('Расчёт'!B19="","",'Расчёт'!D19)</f>
        <v/>
      </c>
      <c r="D27" s="15">
        <f>IF('Расчёт'!B19="","",'Расчёт'!C19)</f>
        <v/>
      </c>
      <c r="E27" s="23">
        <f>IF('Расчёт'!B19="","",'Расчёт'!Q19)</f>
        <v/>
      </c>
      <c r="F27" s="23">
        <f>IF('Расчёт'!B19="","",'Расчёт'!P19)</f>
        <v/>
      </c>
    </row>
    <row r="28">
      <c r="A28" s="15">
        <f>IF('Расчёт'!B20="","",'Расчёт'!A20)</f>
        <v/>
      </c>
      <c r="B28" s="31">
        <f>IF('Расчёт'!B20="","",'Расчёт'!B20)</f>
        <v/>
      </c>
      <c r="C28" s="32">
        <f>IF('Расчёт'!B20="","",'Расчёт'!D20)</f>
        <v/>
      </c>
      <c r="D28" s="15">
        <f>IF('Расчёт'!B20="","",'Расчёт'!C20)</f>
        <v/>
      </c>
      <c r="E28" s="23">
        <f>IF('Расчёт'!B20="","",'Расчёт'!Q20)</f>
        <v/>
      </c>
      <c r="F28" s="23">
        <f>IF('Расчёт'!B20="","",'Расчёт'!P20)</f>
        <v/>
      </c>
    </row>
    <row r="29">
      <c r="A29" s="15">
        <f>IF('Расчёт'!B21="","",'Расчёт'!A21)</f>
        <v/>
      </c>
      <c r="B29" s="31">
        <f>IF('Расчёт'!B21="","",'Расчёт'!B21)</f>
        <v/>
      </c>
      <c r="C29" s="32">
        <f>IF('Расчёт'!B21="","",'Расчёт'!D21)</f>
        <v/>
      </c>
      <c r="D29" s="15">
        <f>IF('Расчёт'!B21="","",'Расчёт'!C21)</f>
        <v/>
      </c>
      <c r="E29" s="23">
        <f>IF('Расчёт'!B21="","",'Расчёт'!Q21)</f>
        <v/>
      </c>
      <c r="F29" s="23">
        <f>IF('Расчёт'!B21="","",'Расчёт'!P21)</f>
        <v/>
      </c>
    </row>
    <row r="30">
      <c r="A30" s="15">
        <f>IF('Расчёт'!B22="","",'Расчёт'!A22)</f>
        <v/>
      </c>
      <c r="B30" s="31">
        <f>IF('Расчёт'!B22="","",'Расчёт'!B22)</f>
        <v/>
      </c>
      <c r="C30" s="32">
        <f>IF('Расчёт'!B22="","",'Расчёт'!D22)</f>
        <v/>
      </c>
      <c r="D30" s="15">
        <f>IF('Расчёт'!B22="","",'Расчёт'!C22)</f>
        <v/>
      </c>
      <c r="E30" s="23">
        <f>IF('Расчёт'!B22="","",'Расчёт'!Q22)</f>
        <v/>
      </c>
      <c r="F30" s="23">
        <f>IF('Расчёт'!B22="","",'Расчёт'!P22)</f>
        <v/>
      </c>
    </row>
    <row r="31">
      <c r="A31" s="15">
        <f>IF('Расчёт'!B23="","",'Расчёт'!A23)</f>
        <v/>
      </c>
      <c r="B31" s="31">
        <f>IF('Расчёт'!B23="","",'Расчёт'!B23)</f>
        <v/>
      </c>
      <c r="C31" s="32">
        <f>IF('Расчёт'!B23="","",'Расчёт'!D23)</f>
        <v/>
      </c>
      <c r="D31" s="15">
        <f>IF('Расчёт'!B23="","",'Расчёт'!C23)</f>
        <v/>
      </c>
      <c r="E31" s="23">
        <f>IF('Расчёт'!B23="","",'Расчёт'!Q23)</f>
        <v/>
      </c>
      <c r="F31" s="23">
        <f>IF('Расчёт'!B23="","",'Расчёт'!P23)</f>
        <v/>
      </c>
    </row>
    <row r="32">
      <c r="A32" s="15">
        <f>IF('Расчёт'!B24="","",'Расчёт'!A24)</f>
        <v/>
      </c>
      <c r="B32" s="31">
        <f>IF('Расчёт'!B24="","",'Расчёт'!B24)</f>
        <v/>
      </c>
      <c r="C32" s="32">
        <f>IF('Расчёт'!B24="","",'Расчёт'!D24)</f>
        <v/>
      </c>
      <c r="D32" s="15">
        <f>IF('Расчёт'!B24="","",'Расчёт'!C24)</f>
        <v/>
      </c>
      <c r="E32" s="23">
        <f>IF('Расчёт'!B24="","",'Расчёт'!Q24)</f>
        <v/>
      </c>
      <c r="F32" s="23">
        <f>IF('Расчёт'!B24="","",'Расчёт'!P24)</f>
        <v/>
      </c>
    </row>
    <row r="33">
      <c r="A33" s="15">
        <f>IF('Расчёт'!B25="","",'Расчёт'!A25)</f>
        <v/>
      </c>
      <c r="B33" s="31">
        <f>IF('Расчёт'!B25="","",'Расчёт'!B25)</f>
        <v/>
      </c>
      <c r="C33" s="32">
        <f>IF('Расчёт'!B25="","",'Расчёт'!D25)</f>
        <v/>
      </c>
      <c r="D33" s="15">
        <f>IF('Расчёт'!B25="","",'Расчёт'!C25)</f>
        <v/>
      </c>
      <c r="E33" s="23">
        <f>IF('Расчёт'!B25="","",'Расчёт'!Q25)</f>
        <v/>
      </c>
      <c r="F33" s="23">
        <f>IF('Расчёт'!B25="","",'Расчёт'!P25)</f>
        <v/>
      </c>
    </row>
    <row r="34">
      <c r="A34" s="15">
        <f>IF('Расчёт'!B26="","",'Расчёт'!A26)</f>
        <v/>
      </c>
      <c r="B34" s="31">
        <f>IF('Расчёт'!B26="","",'Расчёт'!B26)</f>
        <v/>
      </c>
      <c r="C34" s="32">
        <f>IF('Расчёт'!B26="","",'Расчёт'!D26)</f>
        <v/>
      </c>
      <c r="D34" s="15">
        <f>IF('Расчёт'!B26="","",'Расчёт'!C26)</f>
        <v/>
      </c>
      <c r="E34" s="23">
        <f>IF('Расчёт'!B26="","",'Расчёт'!Q26)</f>
        <v/>
      </c>
      <c r="F34" s="23">
        <f>IF('Расчёт'!B26="","",'Расчёт'!P26)</f>
        <v/>
      </c>
    </row>
    <row r="35">
      <c r="A35" s="15">
        <f>IF('Расчёт'!B27="","",'Расчёт'!A27)</f>
        <v/>
      </c>
      <c r="B35" s="31">
        <f>IF('Расчёт'!B27="","",'Расчёт'!B27)</f>
        <v/>
      </c>
      <c r="C35" s="32">
        <f>IF('Расчёт'!B27="","",'Расчёт'!D27)</f>
        <v/>
      </c>
      <c r="D35" s="15">
        <f>IF('Расчёт'!B27="","",'Расчёт'!C27)</f>
        <v/>
      </c>
      <c r="E35" s="23">
        <f>IF('Расчёт'!B27="","",'Расчёт'!Q27)</f>
        <v/>
      </c>
      <c r="F35" s="23">
        <f>IF('Расчёт'!B27="","",'Расчёт'!P27)</f>
        <v/>
      </c>
    </row>
    <row r="36">
      <c r="A36" s="15">
        <f>IF('Расчёт'!B28="","",'Расчёт'!A28)</f>
        <v/>
      </c>
      <c r="B36" s="31">
        <f>IF('Расчёт'!B28="","",'Расчёт'!B28)</f>
        <v/>
      </c>
      <c r="C36" s="32">
        <f>IF('Расчёт'!B28="","",'Расчёт'!D28)</f>
        <v/>
      </c>
      <c r="D36" s="15">
        <f>IF('Расчёт'!B28="","",'Расчёт'!C28)</f>
        <v/>
      </c>
      <c r="E36" s="23">
        <f>IF('Расчёт'!B28="","",'Расчёт'!Q28)</f>
        <v/>
      </c>
      <c r="F36" s="23">
        <f>IF('Расчёт'!B28="","",'Расчёт'!P28)</f>
        <v/>
      </c>
    </row>
    <row r="37">
      <c r="A37" s="15">
        <f>IF('Расчёт'!B29="","",'Расчёт'!A29)</f>
        <v/>
      </c>
      <c r="B37" s="31">
        <f>IF('Расчёт'!B29="","",'Расчёт'!B29)</f>
        <v/>
      </c>
      <c r="C37" s="32">
        <f>IF('Расчёт'!B29="","",'Расчёт'!D29)</f>
        <v/>
      </c>
      <c r="D37" s="15">
        <f>IF('Расчёт'!B29="","",'Расчёт'!C29)</f>
        <v/>
      </c>
      <c r="E37" s="23">
        <f>IF('Расчёт'!B29="","",'Расчёт'!Q29)</f>
        <v/>
      </c>
      <c r="F37" s="23">
        <f>IF('Расчёт'!B29="","",'Расчёт'!P29)</f>
        <v/>
      </c>
    </row>
    <row r="38">
      <c r="A38" s="15">
        <f>IF('Расчёт'!B30="","",'Расчёт'!A30)</f>
        <v/>
      </c>
      <c r="B38" s="31">
        <f>IF('Расчёт'!B30="","",'Расчёт'!B30)</f>
        <v/>
      </c>
      <c r="C38" s="32">
        <f>IF('Расчёт'!B30="","",'Расчёт'!D30)</f>
        <v/>
      </c>
      <c r="D38" s="15">
        <f>IF('Расчёт'!B30="","",'Расчёт'!C30)</f>
        <v/>
      </c>
      <c r="E38" s="23">
        <f>IF('Расчёт'!B30="","",'Расчёт'!Q30)</f>
        <v/>
      </c>
      <c r="F38" s="23">
        <f>IF('Расчёт'!B30="","",'Расчёт'!P30)</f>
        <v/>
      </c>
    </row>
    <row r="39">
      <c r="A39" s="15">
        <f>IF('Расчёт'!$D$35=0,"","F")</f>
        <v/>
      </c>
      <c r="B39" s="31">
        <f>IF('Расчёт'!$D$35=0,"","Anfahrt / Fahrtkosten")</f>
        <v/>
      </c>
      <c r="C39" s="32">
        <f>IF('Расчёт'!$D$35=0,"",1)</f>
        <v/>
      </c>
      <c r="D39" s="15">
        <f>IF('Расчёт'!$D$35=0,"","psch")</f>
        <v/>
      </c>
      <c r="E39" s="23">
        <f>F39</f>
        <v/>
      </c>
      <c r="F39" s="23">
        <f>IF('Расчёт'!$D$35=0,"",IF(AND(ISNUMBER('Расчёт'!$D$35),NOT(ISBLANK('Ставки'!$B$8)),NOT(ISBLANK('Ставки'!$B$9))),'Расчёт'!$D$35*(1+'Ставки'!$B$8+'Ставки'!$B$9),"нет ставки"))</f>
        <v/>
      </c>
    </row>
    <row r="41">
      <c r="E41" s="33" t="inlineStr">
        <is>
          <t>Summe netto</t>
        </is>
      </c>
      <c r="F41" s="26">
        <f>'Расчёт'!D45</f>
        <v/>
      </c>
    </row>
    <row r="42">
      <c r="E42" s="33">
        <f>"zzgl. MwSt "&amp;TEXT('Ставки'!B13*100,"0")&amp;" %"</f>
        <v/>
      </c>
      <c r="F42" s="26">
        <f>'Расчёт'!D46</f>
        <v/>
      </c>
    </row>
    <row r="43">
      <c r="E43" s="33" t="inlineStr">
        <is>
          <t>Gesamtbetrag brutto</t>
        </is>
      </c>
      <c r="F43" s="26">
        <f>'Расчёт'!D47</f>
        <v/>
      </c>
    </row>
    <row r="46">
      <c r="A46" s="4" t="inlineStr">
        <is>
          <t>Dieses Angebot ist 30 Tage ab Angebotsdatum gültig.</t>
        </is>
      </c>
    </row>
    <row r="47">
      <c r="A47" s="4" t="inlineStr">
        <is>
          <t>Zahlungsbedingungen: [Zahlungsbedingungen, z. B. Abschlagszahlungen / Zahlungsziel]</t>
        </is>
      </c>
    </row>
    <row r="48">
      <c r="A48" s="4" t="inlineStr">
        <is>
          <t>Ausführungszeitraum: [nach Absprache]</t>
        </is>
      </c>
    </row>
    <row r="49">
      <c r="A49" s="4" t="inlineStr">
        <is>
          <t>Grundlage: Aufmaß vor Ort. Abrechnung nach tatsächlichem Aufmaß. Nicht aufgeführte Leistungen werden gesondert angeboten.</t>
        </is>
      </c>
    </row>
    <row r="50">
      <c r="A50" s="4" t="inlineStr"/>
    </row>
    <row r="51">
      <c r="A51" s="4" t="inlineStr">
        <is>
          <t>Mit freundlichen Grüßen</t>
        </is>
      </c>
    </row>
    <row r="52">
      <c r="A52" s="4" t="inlineStr">
        <is>
          <t>[Name] · [Firma]</t>
        </is>
      </c>
    </row>
    <row r="53">
      <c r="A53" s="4" t="inlineStr"/>
    </row>
    <row r="54">
      <c r="A54" s="4" t="inlineStr">
        <is>
          <t>Bankverbindung: [Bank] · IBAN: [IBAN] · BIC: [BIC]</t>
        </is>
      </c>
    </row>
  </sheetData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4" t="inlineStr">
        <is>
          <t>Как пользоваться калькулятором</t>
        </is>
      </c>
    </row>
    <row r="2">
      <c r="A2" s="35" t="inlineStr"/>
    </row>
    <row r="3">
      <c r="A3" s="35" t="inlineStr">
        <is>
          <t>1. «Ставки» — один раз заполнить жёлтые ячейки: ставки Geselle/Meister (€/ч без НДС), Materialaufschlag, Gemeinkosten, Wagnis, Gewinn (в %), Fahrtkosten €/км, PLZ базы, радиус. MwSt 19 % уже стоит (закон).</t>
        </is>
      </c>
    </row>
    <row r="4">
      <c r="A4" s="35" t="inlineStr">
        <is>
          <t>2. «Позиции» — по каждой нужной позиции вписать свои часы на единицу (столбец E) и закупочную цену материала €/ед. (столбец F). Серый столбец G — только ориентир, проверить по своему опыту; в расчёт он не идёт. Внизу 10 пустых строк для своих позиций.</t>
        </is>
      </c>
    </row>
    <row r="5">
      <c r="A5" s="35" t="inlineStr">
        <is>
          <t>3. «Расчёт» — для каждого объекта: название объекта (C2), в столбце B выбрать позицию из списка, в D ввести количество, в E — Geselle или Meister. Внизу — км до объекта и число поездок.</t>
        </is>
      </c>
    </row>
    <row r="6">
      <c r="A6" s="35" t="inlineStr">
        <is>
          <t xml:space="preserve">   Формулы: Lohn = Menge × h × Satz; Material = Menge × Preis × (1 + Aufschlag); Gemeinkosten от Lohn+Material; Wagnis и Gewinn от Selbstkosten; Netto → MwSt → Brutto; Profit € и Marge %.</t>
        </is>
      </c>
    </row>
    <row r="7">
      <c r="A7" s="35" t="inlineStr">
        <is>
          <t xml:space="preserve">   Если где-то видно «нет ставки» — значит не заполнена ставка, норма часов или цена материала. Нуля вместо цены калькулятор специально не ставит.</t>
        </is>
      </c>
    </row>
    <row r="8">
      <c r="A8" s="35" t="inlineStr">
        <is>
          <t>4. «Angebot» — немецкое КП собирается само из листа «Расчёт». Заменить заглушки [Firma], [Adresse], [USt-IdNr], [Kunde], [Zahlungsbedingungen], [IBAN] на свои; срок действия 30 Tage. Печать/экспорт в PDF — из Excel.</t>
        </is>
      </c>
    </row>
    <row r="9">
      <c r="A9" s="35" t="inlineStr">
        <is>
          <t>5. Для нового объекта — сохранить копию файла («Сохранить как…»), очистить жёлтые ячейки B, D на листе «Расчёт».</t>
        </is>
      </c>
    </row>
    <row r="10">
      <c r="A10" s="35" t="inlineStr"/>
    </row>
    <row r="11">
      <c r="A11" s="36" t="inlineStr">
        <is>
          <t>Агент 3 (объёмы, стоимость, прибыль) позже будет читать листы «Ставки» и «Позиции» — поэтому их достаточно заполнить один раз и не переименовывать листы и столбцы. Без ваших ставок агент 3 считает только объёмы, без денег.</t>
        </is>
      </c>
    </row>
    <row r="12">
      <c r="A12" s="35" t="inlineStr"/>
    </row>
    <row r="13">
      <c r="A13" s="35" t="inlineStr">
        <is>
          <t>Цены в файле не придуманы: все денежные ячейки пустые, кроме НДС 19 %. Отправка КП клиенту — только вами.</t>
        </is>
      </c>
    </row>
    <row r="14">
      <c r="A14" s="35" t="inlineStr">
        <is>
          <t>Легенда: жёлтая ячейка = вводит владелец; синий шрифт = ввод; голубая заливка = итоги.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2026-10-07T12:05:24Z</dcterms:created>
  <dcterms:modified xsi:type="dcterms:W3CDTF">2026-10-07T12:05:24Z</dcterms:modified>
</cp:coreProperties>
</file>