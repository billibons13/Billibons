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вки" sheetId="1" state="visible" r:id="rId3"/>
    <sheet name="Позиции" sheetId="2" state="visible" r:id="rId4"/>
    <sheet name="Расчёт" sheetId="3" state="visible" r:id="rId5"/>
    <sheet name="Angebot" sheetId="4" state="visible" r:id="rId6"/>
    <sheet name="Как пользоваться" sheetId="5" state="visible" r:id="rId7"/>
  </sheets>
  <definedNames>
    <definedName function="false" hidden="false" localSheetId="3" name="_xlnm.Print_Area" vbProcedure="false">Angebot!$A$1:$F$55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19 % — Regelsteuersatz по § 12 Abs. 1 UStG. Менять только при изменении закона.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Пример заполнения (25 m² перегородки). Цены не заданы — поэтому «нет ставки», пока не заполнены «Ставки» и «Позиции». Можно перезаписать.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Берётся из листа «Расчёт», ячейка C2.</t>
        </r>
      </text>
    </comment>
  </commentList>
</comments>
</file>

<file path=xl/sharedStrings.xml><?xml version="1.0" encoding="utf-8"?>
<sst xmlns="http://schemas.openxmlformats.org/spreadsheetml/2006/main" count="342" uniqueCount="271">
  <si>
    <t xml:space="preserve">Ставки фирмы / Sätze und Zuschläge</t>
  </si>
  <si>
    <t xml:space="preserve">Жёлтые ячейки заполняет владелец (один раз). Пустая ячейка = «нет ставки» в расчёте. Проценты вводить как 15 %, а не 0,15.</t>
  </si>
  <si>
    <t xml:space="preserve">Параметр (RU)</t>
  </si>
  <si>
    <t xml:space="preserve">Значение</t>
  </si>
  <si>
    <t xml:space="preserve">Einheit</t>
  </si>
  <si>
    <t xml:space="preserve">Bezeichnung (DE)</t>
  </si>
  <si>
    <t xml:space="preserve">Пояснение</t>
  </si>
  <si>
    <t xml:space="preserve">Ставка подмастерья / рабочего</t>
  </si>
  <si>
    <t xml:space="preserve">€/h</t>
  </si>
  <si>
    <t xml:space="preserve">Stundensatz Geselle</t>
  </si>
  <si>
    <t xml:space="preserve">Kalkulationssatz за час (без MwSt)</t>
  </si>
  <si>
    <t xml:space="preserve">Ставка мастера</t>
  </si>
  <si>
    <t xml:space="preserve">Stundensatz Meister</t>
  </si>
  <si>
    <t xml:space="preserve">Наценка на материал</t>
  </si>
  <si>
    <t xml:space="preserve">%</t>
  </si>
  <si>
    <t xml:space="preserve">Materialaufschlag</t>
  </si>
  <si>
    <t xml:space="preserve">Наценка на закупочную цену материала</t>
  </si>
  <si>
    <t xml:space="preserve">Накладные расходы</t>
  </si>
  <si>
    <t xml:space="preserve">Gemeinkosten (BGK/AGK)</t>
  </si>
  <si>
    <t xml:space="preserve">На сумму Lohn + Material</t>
  </si>
  <si>
    <t xml:space="preserve">Риск</t>
  </si>
  <si>
    <t xml:space="preserve">Wagnis</t>
  </si>
  <si>
    <t xml:space="preserve">На Selbstkosten</t>
  </si>
  <si>
    <t xml:space="preserve">Прибыль</t>
  </si>
  <si>
    <t xml:space="preserve">Gewinn</t>
  </si>
  <si>
    <t xml:space="preserve">Транспорт за км</t>
  </si>
  <si>
    <t xml:space="preserve">€/km</t>
  </si>
  <si>
    <t xml:space="preserve">Fahrtkosten</t>
  </si>
  <si>
    <t xml:space="preserve">Цена за 1 км пути</t>
  </si>
  <si>
    <t xml:space="preserve">Почтовый индекс базы</t>
  </si>
  <si>
    <t xml:space="preserve">PLZ</t>
  </si>
  <si>
    <t xml:space="preserve">Firmensitz PLZ</t>
  </si>
  <si>
    <t xml:space="preserve">Откуда считается радиус (для агента 3)</t>
  </si>
  <si>
    <t xml:space="preserve">Рабочий радиус</t>
  </si>
  <si>
    <t xml:space="preserve">km</t>
  </si>
  <si>
    <t xml:space="preserve">Einsatzradius</t>
  </si>
  <si>
    <t xml:space="preserve">Дальше — заявки не берём / отдельно</t>
  </si>
  <si>
    <t xml:space="preserve">НДС</t>
  </si>
  <si>
    <t xml:space="preserve">MwSt (Regelsteuersatz)</t>
  </si>
  <si>
    <t xml:space="preserve">Установлен законом (§ 12 UStG), заполнено заранее</t>
  </si>
  <si>
    <t xml:space="preserve">Легенда:</t>
  </si>
  <si>
    <t xml:space="preserve">жёлтая ячейка</t>
  </si>
  <si>
    <t xml:space="preserve">вводит владелец</t>
  </si>
  <si>
    <t xml:space="preserve">Каталог позиций Innenausbau / Leistungsverzeichnis (Stamm)</t>
  </si>
  <si>
    <t xml:space="preserve">Жёлтые столбцы E (часы на единицу) и F (материал €/ед.) заполняет владелец — только они идут в расчёт. Столбец G — ориентир, проверить по своему опыту; в формулах НЕ используется.</t>
  </si>
  <si>
    <t xml:space="preserve">Код</t>
  </si>
  <si>
    <t xml:space="preserve">Position (DE)</t>
  </si>
  <si>
    <t xml:space="preserve">Описание (RU)</t>
  </si>
  <si>
    <t xml:space="preserve">Zeit h/Einheit
(владелец)</t>
  </si>
  <si>
    <t xml:space="preserve">Material €/Einheit
(владелец, Einkauf netto)</t>
  </si>
  <si>
    <t xml:space="preserve">Ориентир h/ед.
«ориентир, проверить по своему опыту»</t>
  </si>
  <si>
    <t xml:space="preserve">Примечание</t>
  </si>
  <si>
    <t xml:space="preserve">01 Abbruch / Entsorgung</t>
  </si>
  <si>
    <t xml:space="preserve">AB-01</t>
  </si>
  <si>
    <t xml:space="preserve">Abbruch Trockenbauwand</t>
  </si>
  <si>
    <t xml:space="preserve">Демонтаж ГКЛ-перегородки</t>
  </si>
  <si>
    <t xml:space="preserve">m²</t>
  </si>
  <si>
    <t xml:space="preserve">0,3–0,5</t>
  </si>
  <si>
    <t xml:space="preserve">AB-02</t>
  </si>
  <si>
    <t xml:space="preserve">Abbruch Wandfliesen inkl. Kleber</t>
  </si>
  <si>
    <t xml:space="preserve">Сбивка настенной плитки</t>
  </si>
  <si>
    <t xml:space="preserve">0,5–0,8</t>
  </si>
  <si>
    <t xml:space="preserve">AB-03</t>
  </si>
  <si>
    <t xml:space="preserve">Abbruch Bodenbelag (Teppich/PVC/Laminat)</t>
  </si>
  <si>
    <t xml:space="preserve">Снятие напольного покрытия</t>
  </si>
  <si>
    <t xml:space="preserve">0,1–0,25</t>
  </si>
  <si>
    <t xml:space="preserve">AB-04</t>
  </si>
  <si>
    <t xml:space="preserve">Abbruch Estrich</t>
  </si>
  <si>
    <t xml:space="preserve">Демонтаж стяжки</t>
  </si>
  <si>
    <t xml:space="preserve">сильно зависит от толщины</t>
  </si>
  <si>
    <t xml:space="preserve">EN-01</t>
  </si>
  <si>
    <t xml:space="preserve">Entsorgung Bauschutt / Mischabfall</t>
  </si>
  <si>
    <t xml:space="preserve">Вывоз и утилизация мусора</t>
  </si>
  <si>
    <t xml:space="preserve">m³</t>
  </si>
  <si>
    <t xml:space="preserve">в столбец F — цена контейнера/полигона за m³</t>
  </si>
  <si>
    <t xml:space="preserve">02 Trockenbau</t>
  </si>
  <si>
    <t xml:space="preserve">TB-01</t>
  </si>
  <si>
    <t xml:space="preserve">Trockenbau Wand CW/UW 75, 2-lagig beplankt, inkl. Dämmung</t>
  </si>
  <si>
    <t xml:space="preserve">Перегородка ГКЛ на профиле, 2 слоя, с утеплителем</t>
  </si>
  <si>
    <t xml:space="preserve">0,8–1,2</t>
  </si>
  <si>
    <t xml:space="preserve">TB-02</t>
  </si>
  <si>
    <t xml:space="preserve">Trockenbau Vorsatzschale</t>
  </si>
  <si>
    <t xml:space="preserve">Облицовка стены ГКЛ на профиле</t>
  </si>
  <si>
    <t xml:space="preserve">0,6–0,9</t>
  </si>
  <si>
    <t xml:space="preserve">TB-03</t>
  </si>
  <si>
    <t xml:space="preserve">Trockenbau Decke abgehängt (CD-Profil)</t>
  </si>
  <si>
    <t xml:space="preserve">Подвесной потолок ГКЛ</t>
  </si>
  <si>
    <t xml:space="preserve">TB-04</t>
  </si>
  <si>
    <t xml:space="preserve">Trockenbau Dachschräge</t>
  </si>
  <si>
    <t xml:space="preserve">Обшивка мансардного ската</t>
  </si>
  <si>
    <t xml:space="preserve">TB-05</t>
  </si>
  <si>
    <t xml:space="preserve">Türöffnung in Trockenbauwand (UA-Profil)</t>
  </si>
  <si>
    <t xml:space="preserve">Проём под дверь в ГКЛ-стене</t>
  </si>
  <si>
    <t xml:space="preserve">Stk</t>
  </si>
  <si>
    <t xml:space="preserve">0,8–1,5</t>
  </si>
  <si>
    <t xml:space="preserve">TB-06</t>
  </si>
  <si>
    <t xml:space="preserve">Revisionsklappe einbauen</t>
  </si>
  <si>
    <t xml:space="preserve">Установка ревизионного люка</t>
  </si>
  <si>
    <t xml:space="preserve">0,5–1,0</t>
  </si>
  <si>
    <t xml:space="preserve">03 Spachteln / Maler</t>
  </si>
  <si>
    <t xml:space="preserve">SP-01</t>
  </si>
  <si>
    <t xml:space="preserve">Spachteln Q2</t>
  </si>
  <si>
    <t xml:space="preserve">Шпаклёвка Q2 (стандарт)</t>
  </si>
  <si>
    <t xml:space="preserve">0,15–0,25</t>
  </si>
  <si>
    <t xml:space="preserve">SP-02</t>
  </si>
  <si>
    <t xml:space="preserve">Spachteln Q3</t>
  </si>
  <si>
    <t xml:space="preserve">Шпаклёвка Q3 (под гладкую покраску)</t>
  </si>
  <si>
    <t xml:space="preserve">0,3–0,45</t>
  </si>
  <si>
    <t xml:space="preserve">MA-01</t>
  </si>
  <si>
    <t xml:space="preserve">Abdecken / Abkleben</t>
  </si>
  <si>
    <t xml:space="preserve">Укрытие и оклейка</t>
  </si>
  <si>
    <t xml:space="preserve">0,03–0,06</t>
  </si>
  <si>
    <t xml:space="preserve">на m² пола</t>
  </si>
  <si>
    <t xml:space="preserve">MA-02</t>
  </si>
  <si>
    <t xml:space="preserve">Grundierung / Tiefgrund</t>
  </si>
  <si>
    <t xml:space="preserve">Грунтовка</t>
  </si>
  <si>
    <t xml:space="preserve">0,03–0,05</t>
  </si>
  <si>
    <t xml:space="preserve">MA-03</t>
  </si>
  <si>
    <t xml:space="preserve">Malerarbeiten Wand, Dispersion 2x</t>
  </si>
  <si>
    <t xml:space="preserve">Покраска стен, 2 слоя</t>
  </si>
  <si>
    <t xml:space="preserve">0,12–0,2</t>
  </si>
  <si>
    <t xml:space="preserve">MA-04</t>
  </si>
  <si>
    <t xml:space="preserve">Malerarbeiten Decke, Dispersion 2x</t>
  </si>
  <si>
    <t xml:space="preserve">Покраска потолка, 2 слоя</t>
  </si>
  <si>
    <t xml:space="preserve">MA-05</t>
  </si>
  <si>
    <t xml:space="preserve">Tapezieren Raufaser / Vlies</t>
  </si>
  <si>
    <t xml:space="preserve">Поклейка обоев</t>
  </si>
  <si>
    <t xml:space="preserve">0,2–0,3</t>
  </si>
  <si>
    <t xml:space="preserve">04 Boden</t>
  </si>
  <si>
    <t xml:space="preserve">BO-01</t>
  </si>
  <si>
    <t xml:space="preserve">Untergrund ausgleichen (Ausgleichsmasse)</t>
  </si>
  <si>
    <t xml:space="preserve">Выравнивающая смесь</t>
  </si>
  <si>
    <t xml:space="preserve">0,1–0,2</t>
  </si>
  <si>
    <t xml:space="preserve">BO-02</t>
  </si>
  <si>
    <t xml:space="preserve">Trittschalldämmung verlegen</t>
  </si>
  <si>
    <t xml:space="preserve">Подложка</t>
  </si>
  <si>
    <t xml:space="preserve">BO-03</t>
  </si>
  <si>
    <t xml:space="preserve">Bodenbelag Vinyl (Klick) verlegen</t>
  </si>
  <si>
    <t xml:space="preserve">Укладка винила (клик)</t>
  </si>
  <si>
    <t xml:space="preserve">0,25–0,4</t>
  </si>
  <si>
    <t xml:space="preserve">BO-04</t>
  </si>
  <si>
    <t xml:space="preserve">Bodenbelag Laminat verlegen</t>
  </si>
  <si>
    <t xml:space="preserve">Укладка ламината</t>
  </si>
  <si>
    <t xml:space="preserve">BO-05</t>
  </si>
  <si>
    <t xml:space="preserve">Sockelleisten montieren</t>
  </si>
  <si>
    <t xml:space="preserve">Плинтус</t>
  </si>
  <si>
    <t xml:space="preserve">lfm</t>
  </si>
  <si>
    <t xml:space="preserve">0,08–0,15</t>
  </si>
  <si>
    <t xml:space="preserve">BO-06</t>
  </si>
  <si>
    <t xml:space="preserve">Estrich (Zementestrich) einbringen</t>
  </si>
  <si>
    <t xml:space="preserve">Цементная стяжка</t>
  </si>
  <si>
    <t xml:space="preserve">часто субподряд — уточнить</t>
  </si>
  <si>
    <t xml:space="preserve">05 Fliesen</t>
  </si>
  <si>
    <t xml:space="preserve">FL-01</t>
  </si>
  <si>
    <t xml:space="preserve">Abdichtung Nassbereich (Verbundabdichtung)</t>
  </si>
  <si>
    <t xml:space="preserve">Гидроизоляция мокрой зоны</t>
  </si>
  <si>
    <t xml:space="preserve">0,2–0,4</t>
  </si>
  <si>
    <t xml:space="preserve">FL-02</t>
  </si>
  <si>
    <t xml:space="preserve">Fliesen Wand verlegen</t>
  </si>
  <si>
    <t xml:space="preserve">Укладка настенной плитки</t>
  </si>
  <si>
    <t xml:space="preserve">1,0–1,5</t>
  </si>
  <si>
    <t xml:space="preserve">формат плитки сильно влияет</t>
  </si>
  <si>
    <t xml:space="preserve">FL-03</t>
  </si>
  <si>
    <t xml:space="preserve">Fliesen Boden verlegen</t>
  </si>
  <si>
    <t xml:space="preserve">Укладка напольной плитки</t>
  </si>
  <si>
    <t xml:space="preserve">0,8–1,3</t>
  </si>
  <si>
    <t xml:space="preserve">FL-04</t>
  </si>
  <si>
    <t xml:space="preserve">Silikonfugen</t>
  </si>
  <si>
    <t xml:space="preserve">Силиконовые швы</t>
  </si>
  <si>
    <t xml:space="preserve">0,05–0,1</t>
  </si>
  <si>
    <t xml:space="preserve">06 Türen</t>
  </si>
  <si>
    <t xml:space="preserve">TU-01</t>
  </si>
  <si>
    <t xml:space="preserve">Innentür inkl. Zarge montieren</t>
  </si>
  <si>
    <t xml:space="preserve">Монтаж межкомнатной двери с коробкой</t>
  </si>
  <si>
    <t xml:space="preserve">1,5–2,5</t>
  </si>
  <si>
    <t xml:space="preserve">TU-02</t>
  </si>
  <si>
    <t xml:space="preserve">Innentür demontieren</t>
  </si>
  <si>
    <t xml:space="preserve">Демонтаж двери</t>
  </si>
  <si>
    <t xml:space="preserve">0,3–0,6</t>
  </si>
  <si>
    <t xml:space="preserve">07 Sonstiges</t>
  </si>
  <si>
    <t xml:space="preserve">SO-01</t>
  </si>
  <si>
    <t xml:space="preserve">Baustelleneinrichtung / Endreinigung</t>
  </si>
  <si>
    <t xml:space="preserve">Подготовка объекта / финальная уборка</t>
  </si>
  <si>
    <t xml:space="preserve">psch</t>
  </si>
  <si>
    <t xml:space="preserve">паушально — часы на объект</t>
  </si>
  <si>
    <t xml:space="preserve">99 Свои позиции владельца (дописать)</t>
  </si>
  <si>
    <t xml:space="preserve">Einheit: m² — квадратный метр, lfm — погонный метр, Stk — штука, m³ — кубометр, psch — паушально (1 на объект).</t>
  </si>
  <si>
    <t xml:space="preserve">Столбец G «ориентир, проверить по своему опыту» — грубые диапазоны для Норддойчланд, не нормы и не цены; в расчёт идёт только жёлтый столбец E.</t>
  </si>
  <si>
    <t xml:space="preserve">Расчёт / Kalkulation</t>
  </si>
  <si>
    <t xml:space="preserve">Объект / Bauvorhaben:</t>
  </si>
  <si>
    <t xml:space="preserve">Выбрать позицию в столбце B (список), ввести количество (D) и тип ставки (E). Остальное считается само. «нет ставки» = не заполнена ставка/норма/цена на листах «Ставки» или «Позиции».</t>
  </si>
  <si>
    <t xml:space="preserve">Nr</t>
  </si>
  <si>
    <t xml:space="preserve">Position (из списка «Позиции»)</t>
  </si>
  <si>
    <t xml:space="preserve">Menge</t>
  </si>
  <si>
    <t xml:space="preserve">Lohnart
Geselle/Meister</t>
  </si>
  <si>
    <t xml:space="preserve">Zeit h/Einheit</t>
  </si>
  <si>
    <t xml:space="preserve">Stundensatz €/h</t>
  </si>
  <si>
    <t xml:space="preserve">Lohn €
= Menge×h×Satz</t>
  </si>
  <si>
    <t xml:space="preserve">Material €/Einheit</t>
  </si>
  <si>
    <t xml:space="preserve">Material € inkl. Aufschlag
= Menge×Preis×(1+Aufschlag)</t>
  </si>
  <si>
    <t xml:space="preserve">Einzelkosten €
(Lohn+Material)</t>
  </si>
  <si>
    <t xml:space="preserve">Gemeinkosten €</t>
  </si>
  <si>
    <t xml:space="preserve">Selbstkosten €</t>
  </si>
  <si>
    <t xml:space="preserve">Wagnis €</t>
  </si>
  <si>
    <t xml:space="preserve">Gewinn €</t>
  </si>
  <si>
    <t xml:space="preserve">Netto €
(Angebotspreis)</t>
  </si>
  <si>
    <t xml:space="preserve">Einheitspreis €
(netto)</t>
  </si>
  <si>
    <t xml:space="preserve">Geselle</t>
  </si>
  <si>
    <t xml:space="preserve">Fahrtkosten / транспорт</t>
  </si>
  <si>
    <t xml:space="preserve">Entfernung einfach, km (от базы до объекта)</t>
  </si>
  <si>
    <t xml:space="preserve">Anzahl Fahrten (туда-обратно)</t>
  </si>
  <si>
    <t xml:space="preserve">Fahrtkosten € = km × 2 × Fahrten × €/km</t>
  </si>
  <si>
    <t xml:space="preserve">пусто = без транспорта</t>
  </si>
  <si>
    <t xml:space="preserve">Итог / Zusammenfassung</t>
  </si>
  <si>
    <t xml:space="preserve">Lohn gesamt</t>
  </si>
  <si>
    <t xml:space="preserve">работа</t>
  </si>
  <si>
    <t xml:space="preserve">Material inkl. Aufschlag gesamt</t>
  </si>
  <si>
    <t xml:space="preserve">материал с наценкой</t>
  </si>
  <si>
    <t xml:space="preserve">Gemeinkosten gesamt</t>
  </si>
  <si>
    <t xml:space="preserve">накладные</t>
  </si>
  <si>
    <t xml:space="preserve">транспорт</t>
  </si>
  <si>
    <t xml:space="preserve">Selbstkosten gesamt</t>
  </si>
  <si>
    <t xml:space="preserve">себестоимость = Lohn + Material + GK + Fahrt</t>
  </si>
  <si>
    <t xml:space="preserve">риск</t>
  </si>
  <si>
    <t xml:space="preserve">Gewinn (geplant)</t>
  </si>
  <si>
    <t xml:space="preserve">плановая прибыль</t>
  </si>
  <si>
    <t xml:space="preserve">Angebotssumme netto</t>
  </si>
  <si>
    <t xml:space="preserve">Netto</t>
  </si>
  <si>
    <t xml:space="preserve">MwSt</t>
  </si>
  <si>
    <t xml:space="preserve">Angebotssumme brutto</t>
  </si>
  <si>
    <t xml:space="preserve">Brutto</t>
  </si>
  <si>
    <t xml:space="preserve">Profit € (Netto − Selbstkosten)</t>
  </si>
  <si>
    <t xml:space="preserve">прибыль € (Wagnis + Gewinn, если риск не случился)</t>
  </si>
  <si>
    <t xml:space="preserve">Marge % (Profit / Netto)</t>
  </si>
  <si>
    <t xml:space="preserve">маржа %</t>
  </si>
  <si>
    <t xml:space="preserve">Fahrtkosten в Angebot идут отдельной строкой «Anfahrt» по цене Fahrt × (1 + Wagnis + Gewinn). Gemeinkosten считаются от Lohn + Material; Wagnis и Gewinn — от Selbstkosten.</t>
  </si>
  <si>
    <t xml:space="preserve">[Firma]</t>
  </si>
  <si>
    <t xml:space="preserve">[Adresse] · [PLZ Ort] · Tel. [Telefon] · [E-Mail]</t>
  </si>
  <si>
    <t xml:space="preserve">USt-IdNr.: [USt-IdNr] · Steuernummer: [Steuernummer]</t>
  </si>
  <si>
    <t xml:space="preserve">An: [Kunde Name]</t>
  </si>
  <si>
    <t xml:space="preserve">Datum:</t>
  </si>
  <si>
    <t xml:space="preserve">[Kunde Adresse]</t>
  </si>
  <si>
    <t xml:space="preserve">Angebots-Nr.:</t>
  </si>
  <si>
    <t xml:space="preserve">[Nr.]</t>
  </si>
  <si>
    <t xml:space="preserve">ANGEBOT</t>
  </si>
  <si>
    <t xml:space="preserve">Sehr geehrte Damen und Herren,</t>
  </si>
  <si>
    <t xml:space="preserve">vielen Dank für Ihre Anfrage. Gerne bieten wir Ihnen folgende Leistungen an:</t>
  </si>
  <si>
    <t xml:space="preserve">Pos.</t>
  </si>
  <si>
    <t xml:space="preserve">Bezeichnung</t>
  </si>
  <si>
    <t xml:space="preserve">Einheitspreis €</t>
  </si>
  <si>
    <t xml:space="preserve">Gesamtpreis €</t>
  </si>
  <si>
    <t xml:space="preserve">Summe netto</t>
  </si>
  <si>
    <t xml:space="preserve">Gesamtbetrag brutto</t>
  </si>
  <si>
    <t xml:space="preserve">Dieses Angebot ist 30 Tage ab Angebotsdatum gültig.</t>
  </si>
  <si>
    <t xml:space="preserve">Zahlungsbedingungen: [Zahlungsbedingungen, z. B. Abschlagszahlungen / Zahlungsziel]</t>
  </si>
  <si>
    <t xml:space="preserve">Ausführungszeitraum: [nach Absprache]</t>
  </si>
  <si>
    <t xml:space="preserve">Grundlage: Aufmaß vor Ort. Abrechnung nach tatsächlichem Aufmaß. Nicht aufgeführte Leistungen werden gesondert angeboten.</t>
  </si>
  <si>
    <t xml:space="preserve">Mit freundlichen Grüßen</t>
  </si>
  <si>
    <t xml:space="preserve">[Name] · [Firma]</t>
  </si>
  <si>
    <t xml:space="preserve">Bankverbindung: [Bank] · IBAN: [IBAN] · BIC: [BIC]</t>
  </si>
  <si>
    <t xml:space="preserve">Как пользоваться калькулятором</t>
  </si>
  <si>
    <t xml:space="preserve">1. «Ставки» — один раз заполнить жёлтые ячейки: ставки Geselle/Meister (€/ч без НДС), Materialaufschlag, Gemeinkosten, Wagnis, Gewinn (в %), Fahrtkosten €/км, PLZ базы, радиус. MwSt 19 % уже стоит (закон).</t>
  </si>
  <si>
    <t xml:space="preserve">2. «Позиции» — по каждой нужной позиции вписать свои часы на единицу (столбец E) и закупочную цену материала €/ед. (столбец F). Серый столбец G — только ориентир, проверить по своему опыту; в расчёт он не идёт. Внизу 10 пустых строк для своих позиций.</t>
  </si>
  <si>
    <t xml:space="preserve">3. «Расчёт» — для каждого объекта: название объекта (C2), в столбце B выбрать позицию из списка, в D ввести количество, в E — Geselle или Meister. Внизу — км до объекта и число поездок.</t>
  </si>
  <si>
    <t xml:space="preserve">   Формулы: Lohn = Menge × h × Satz; Material = Menge × Preis × (1 + Aufschlag); Gemeinkosten от Lohn+Material; Wagnis и Gewinn от Selbstkosten; Netto → MwSt → Brutto; Profit € и Marge %.</t>
  </si>
  <si>
    <t xml:space="preserve">   Если где-то видно «нет ставки» — значит не заполнена ставка, норма часов или цена материала. Нуля вместо цены калькулятор специально не ставит.</t>
  </si>
  <si>
    <t xml:space="preserve">4. «Angebot» — немецкое КП собирается само из листа «Расчёт». Заменить заглушки [Firma], [Adresse], [USt-IdNr], [Kunde], [Zahlungsbedingungen], [IBAN] на свои; срок действия 30 Tage. Печать/экспорт в PDF — из Excel.</t>
  </si>
  <si>
    <t xml:space="preserve">5. Для нового объекта — сохранить копию файла («Сохранить как…»), очистить жёлтые ячейки B, D на листе «Расчёт».</t>
  </si>
  <si>
    <t xml:space="preserve">Агент 3 (объёмы, стоимость, прибыль) позже будет читать листы «Ставки» и «Позиции» — поэтому их достаточно заполнить один раз и не переименовывать листы и столбцы. Без ваших ставок агент 3 считает только объёмы, без денег.</t>
  </si>
  <si>
    <t xml:space="preserve">Цены в файле не придуманы: все денежные ячейки пустые, кроме НДС 19 %. Отправка КП клиенту — только вами.</t>
  </si>
  <si>
    <t xml:space="preserve">Легенда: жёлтая ячейка = вводит владелец; синий шрифт = ввод; голубая заливка = итоги.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</si>
</sst>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&quot; €&quot;"/>
    <numFmt numFmtId="166" formatCode="0.0%"/>
    <numFmt numFmtId="167" formatCode="@"/>
    <numFmt numFmtId="168" formatCode="0"/>
    <numFmt numFmtId="169" formatCode="0%"/>
    <numFmt numFmtId="170" formatCode="0.00"/>
    <numFmt numFmtId="171" formatCode="#,##0.00"/>
    <numFmt numFmtId="172" formatCode="#,##0.00&quot; €&quot;;\-#,##0.00&quot; €&quot;;\-"/>
    <numFmt numFmtId="173" formatCode="0.0%;\-0.0%;\-"/>
    <numFmt numFmtId="174" formatCode="dd\.mm\.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595959"/>
      <name val="Arial"/>
      <family val="0"/>
      <charset val="1"/>
    </font>
    <font>
      <sz val="10"/>
      <name val="Arial"/>
      <family val="2"/>
    </font>
    <font>
      <i val="true"/>
      <sz val="10"/>
      <color rgb="FF808080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6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26"/>
    <col collapsed="false" customWidth="true" hidden="false" outlineLevel="0" max="5" min="5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</row>
    <row r="4" customFormat="false" ht="15" hidden="false" customHeight="false" outlineLevel="0" collapsed="false">
      <c r="A4" s="4" t="s">
        <v>7</v>
      </c>
      <c r="B4" s="5"/>
      <c r="C4" s="4" t="s">
        <v>8</v>
      </c>
      <c r="D4" s="6" t="s">
        <v>9</v>
      </c>
      <c r="E4" s="7" t="s">
        <v>10</v>
      </c>
    </row>
    <row r="5" customFormat="false" ht="15" hidden="false" customHeight="false" outlineLevel="0" collapsed="false">
      <c r="A5" s="4" t="s">
        <v>11</v>
      </c>
      <c r="B5" s="5"/>
      <c r="C5" s="4" t="s">
        <v>8</v>
      </c>
      <c r="D5" s="6" t="s">
        <v>12</v>
      </c>
      <c r="E5" s="7" t="s">
        <v>10</v>
      </c>
    </row>
    <row r="6" customFormat="false" ht="15" hidden="false" customHeight="false" outlineLevel="0" collapsed="false">
      <c r="A6" s="4" t="s">
        <v>13</v>
      </c>
      <c r="B6" s="8"/>
      <c r="C6" s="4" t="s">
        <v>14</v>
      </c>
      <c r="D6" s="6" t="s">
        <v>15</v>
      </c>
      <c r="E6" s="7" t="s">
        <v>16</v>
      </c>
    </row>
    <row r="7" customFormat="false" ht="15" hidden="false" customHeight="false" outlineLevel="0" collapsed="false">
      <c r="A7" s="4" t="s">
        <v>17</v>
      </c>
      <c r="B7" s="8"/>
      <c r="C7" s="4" t="s">
        <v>14</v>
      </c>
      <c r="D7" s="6" t="s">
        <v>18</v>
      </c>
      <c r="E7" s="7" t="s">
        <v>19</v>
      </c>
    </row>
    <row r="8" customFormat="false" ht="15" hidden="false" customHeight="false" outlineLevel="0" collapsed="false">
      <c r="A8" s="4" t="s">
        <v>20</v>
      </c>
      <c r="B8" s="8"/>
      <c r="C8" s="4" t="s">
        <v>14</v>
      </c>
      <c r="D8" s="6" t="s">
        <v>21</v>
      </c>
      <c r="E8" s="7" t="s">
        <v>22</v>
      </c>
    </row>
    <row r="9" customFormat="false" ht="15" hidden="false" customHeight="false" outlineLevel="0" collapsed="false">
      <c r="A9" s="4" t="s">
        <v>23</v>
      </c>
      <c r="B9" s="8"/>
      <c r="C9" s="4" t="s">
        <v>14</v>
      </c>
      <c r="D9" s="6" t="s">
        <v>24</v>
      </c>
      <c r="E9" s="7" t="s">
        <v>22</v>
      </c>
    </row>
    <row r="10" customFormat="false" ht="15" hidden="false" customHeight="false" outlineLevel="0" collapsed="false">
      <c r="A10" s="4" t="s">
        <v>25</v>
      </c>
      <c r="B10" s="5"/>
      <c r="C10" s="4" t="s">
        <v>26</v>
      </c>
      <c r="D10" s="6" t="s">
        <v>27</v>
      </c>
      <c r="E10" s="7" t="s">
        <v>28</v>
      </c>
    </row>
    <row r="11" customFormat="false" ht="15" hidden="false" customHeight="false" outlineLevel="0" collapsed="false">
      <c r="A11" s="4" t="s">
        <v>29</v>
      </c>
      <c r="B11" s="9"/>
      <c r="C11" s="4" t="s">
        <v>30</v>
      </c>
      <c r="D11" s="6" t="s">
        <v>31</v>
      </c>
      <c r="E11" s="7" t="s">
        <v>32</v>
      </c>
    </row>
    <row r="12" customFormat="false" ht="15" hidden="false" customHeight="false" outlineLevel="0" collapsed="false">
      <c r="A12" s="4" t="s">
        <v>33</v>
      </c>
      <c r="B12" s="10"/>
      <c r="C12" s="4" t="s">
        <v>34</v>
      </c>
      <c r="D12" s="6" t="s">
        <v>35</v>
      </c>
      <c r="E12" s="7" t="s">
        <v>36</v>
      </c>
    </row>
    <row r="13" customFormat="false" ht="15" hidden="false" customHeight="false" outlineLevel="0" collapsed="false">
      <c r="A13" s="4" t="s">
        <v>37</v>
      </c>
      <c r="B13" s="11" t="n">
        <v>0.19</v>
      </c>
      <c r="C13" s="4" t="s">
        <v>14</v>
      </c>
      <c r="D13" s="6" t="s">
        <v>38</v>
      </c>
      <c r="E13" s="7" t="s">
        <v>39</v>
      </c>
    </row>
    <row r="15" customFormat="false" ht="15" hidden="false" customHeight="false" outlineLevel="0" collapsed="false">
      <c r="A15" s="6" t="s">
        <v>40</v>
      </c>
    </row>
    <row r="16" customFormat="false" ht="15" hidden="false" customHeight="false" outlineLevel="0" collapsed="false">
      <c r="A16" s="12" t="s">
        <v>41</v>
      </c>
      <c r="B16" s="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36"/>
  </cols>
  <sheetData>
    <row r="1" customFormat="false" ht="17.35" hidden="false" customHeight="false" outlineLevel="0" collapsed="false">
      <c r="A1" s="1" t="s">
        <v>43</v>
      </c>
    </row>
    <row r="2" customFormat="false" ht="15" hidden="false" customHeight="false" outlineLevel="0" collapsed="false">
      <c r="A2" s="2" t="s">
        <v>44</v>
      </c>
    </row>
    <row r="4" customFormat="false" ht="48" hidden="false" customHeight="true" outlineLevel="0" collapsed="false">
      <c r="A4" s="3" t="s">
        <v>45</v>
      </c>
      <c r="B4" s="3" t="s">
        <v>46</v>
      </c>
      <c r="C4" s="3" t="s">
        <v>47</v>
      </c>
      <c r="D4" s="3" t="s">
        <v>4</v>
      </c>
      <c r="E4" s="3" t="s">
        <v>48</v>
      </c>
      <c r="F4" s="3" t="s">
        <v>49</v>
      </c>
      <c r="G4" s="3" t="s">
        <v>50</v>
      </c>
      <c r="H4" s="3" t="s">
        <v>51</v>
      </c>
    </row>
    <row r="5" customFormat="false" ht="15" hidden="false" customHeight="false" outlineLevel="0" collapsed="false">
      <c r="A5" s="13" t="s">
        <v>52</v>
      </c>
      <c r="B5" s="14"/>
      <c r="C5" s="14"/>
      <c r="D5" s="14"/>
      <c r="E5" s="14"/>
      <c r="F5" s="14"/>
      <c r="G5" s="14"/>
      <c r="H5" s="14"/>
    </row>
    <row r="6" customFormat="false" ht="15" hidden="false" customHeight="false" outlineLevel="0" collapsed="false">
      <c r="A6" s="15" t="s">
        <v>53</v>
      </c>
      <c r="B6" s="15" t="s">
        <v>54</v>
      </c>
      <c r="C6" s="15" t="s">
        <v>55</v>
      </c>
      <c r="D6" s="15" t="s">
        <v>56</v>
      </c>
      <c r="E6" s="16"/>
      <c r="F6" s="5"/>
      <c r="G6" s="17" t="s">
        <v>57</v>
      </c>
      <c r="H6" s="15"/>
    </row>
    <row r="7" customFormat="false" ht="15" hidden="false" customHeight="false" outlineLevel="0" collapsed="false">
      <c r="A7" s="15" t="s">
        <v>58</v>
      </c>
      <c r="B7" s="15" t="s">
        <v>59</v>
      </c>
      <c r="C7" s="15" t="s">
        <v>60</v>
      </c>
      <c r="D7" s="15" t="s">
        <v>56</v>
      </c>
      <c r="E7" s="16"/>
      <c r="F7" s="5"/>
      <c r="G7" s="17" t="s">
        <v>61</v>
      </c>
      <c r="H7" s="15"/>
    </row>
    <row r="8" customFormat="false" ht="15" hidden="false" customHeight="false" outlineLevel="0" collapsed="false">
      <c r="A8" s="15" t="s">
        <v>62</v>
      </c>
      <c r="B8" s="15" t="s">
        <v>63</v>
      </c>
      <c r="C8" s="15" t="s">
        <v>64</v>
      </c>
      <c r="D8" s="15" t="s">
        <v>56</v>
      </c>
      <c r="E8" s="16"/>
      <c r="F8" s="5"/>
      <c r="G8" s="17" t="s">
        <v>65</v>
      </c>
      <c r="H8" s="15"/>
    </row>
    <row r="9" customFormat="false" ht="15" hidden="false" customHeight="false" outlineLevel="0" collapsed="false">
      <c r="A9" s="15" t="s">
        <v>66</v>
      </c>
      <c r="B9" s="15" t="s">
        <v>67</v>
      </c>
      <c r="C9" s="15" t="s">
        <v>68</v>
      </c>
      <c r="D9" s="15" t="s">
        <v>56</v>
      </c>
      <c r="E9" s="16"/>
      <c r="F9" s="5"/>
      <c r="G9" s="17"/>
      <c r="H9" s="15" t="s">
        <v>69</v>
      </c>
    </row>
    <row r="10" customFormat="false" ht="15" hidden="false" customHeight="false" outlineLevel="0" collapsed="false">
      <c r="A10" s="15" t="s">
        <v>70</v>
      </c>
      <c r="B10" s="15" t="s">
        <v>71</v>
      </c>
      <c r="C10" s="15" t="s">
        <v>72</v>
      </c>
      <c r="D10" s="15" t="s">
        <v>73</v>
      </c>
      <c r="E10" s="16"/>
      <c r="F10" s="5"/>
      <c r="G10" s="17"/>
      <c r="H10" s="15" t="s">
        <v>74</v>
      </c>
    </row>
    <row r="11" customFormat="false" ht="15" hidden="false" customHeight="false" outlineLevel="0" collapsed="false">
      <c r="A11" s="13" t="s">
        <v>75</v>
      </c>
      <c r="B11" s="14"/>
      <c r="C11" s="14"/>
      <c r="D11" s="14"/>
      <c r="E11" s="14"/>
      <c r="F11" s="14"/>
      <c r="G11" s="14"/>
      <c r="H11" s="14"/>
    </row>
    <row r="12" customFormat="false" ht="15" hidden="false" customHeight="false" outlineLevel="0" collapsed="false">
      <c r="A12" s="15" t="s">
        <v>76</v>
      </c>
      <c r="B12" s="15" t="s">
        <v>77</v>
      </c>
      <c r="C12" s="15" t="s">
        <v>78</v>
      </c>
      <c r="D12" s="15" t="s">
        <v>56</v>
      </c>
      <c r="E12" s="16"/>
      <c r="F12" s="5"/>
      <c r="G12" s="17" t="s">
        <v>79</v>
      </c>
      <c r="H12" s="15"/>
    </row>
    <row r="13" customFormat="false" ht="15" hidden="false" customHeight="false" outlineLevel="0" collapsed="false">
      <c r="A13" s="15" t="s">
        <v>80</v>
      </c>
      <c r="B13" s="15" t="s">
        <v>81</v>
      </c>
      <c r="C13" s="15" t="s">
        <v>82</v>
      </c>
      <c r="D13" s="15" t="s">
        <v>56</v>
      </c>
      <c r="E13" s="16"/>
      <c r="F13" s="5"/>
      <c r="G13" s="17" t="s">
        <v>83</v>
      </c>
      <c r="H13" s="15"/>
    </row>
    <row r="14" customFormat="false" ht="15" hidden="false" customHeight="false" outlineLevel="0" collapsed="false">
      <c r="A14" s="15" t="s">
        <v>84</v>
      </c>
      <c r="B14" s="15" t="s">
        <v>85</v>
      </c>
      <c r="C14" s="15" t="s">
        <v>86</v>
      </c>
      <c r="D14" s="15" t="s">
        <v>56</v>
      </c>
      <c r="E14" s="16"/>
      <c r="F14" s="5"/>
      <c r="G14" s="17" t="s">
        <v>79</v>
      </c>
      <c r="H14" s="15"/>
    </row>
    <row r="15" customFormat="false" ht="15" hidden="false" customHeight="false" outlineLevel="0" collapsed="false">
      <c r="A15" s="15" t="s">
        <v>87</v>
      </c>
      <c r="B15" s="15" t="s">
        <v>88</v>
      </c>
      <c r="C15" s="15" t="s">
        <v>89</v>
      </c>
      <c r="D15" s="15" t="s">
        <v>56</v>
      </c>
      <c r="E15" s="16"/>
      <c r="F15" s="5"/>
      <c r="G15" s="17" t="s">
        <v>79</v>
      </c>
      <c r="H15" s="15"/>
    </row>
    <row r="16" customFormat="false" ht="15" hidden="false" customHeight="false" outlineLevel="0" collapsed="false">
      <c r="A16" s="15" t="s">
        <v>90</v>
      </c>
      <c r="B16" s="15" t="s">
        <v>91</v>
      </c>
      <c r="C16" s="15" t="s">
        <v>92</v>
      </c>
      <c r="D16" s="15" t="s">
        <v>93</v>
      </c>
      <c r="E16" s="16"/>
      <c r="F16" s="5"/>
      <c r="G16" s="17" t="s">
        <v>94</v>
      </c>
      <c r="H16" s="15"/>
    </row>
    <row r="17" customFormat="false" ht="15" hidden="false" customHeight="false" outlineLevel="0" collapsed="false">
      <c r="A17" s="15" t="s">
        <v>95</v>
      </c>
      <c r="B17" s="15" t="s">
        <v>96</v>
      </c>
      <c r="C17" s="15" t="s">
        <v>97</v>
      </c>
      <c r="D17" s="15" t="s">
        <v>93</v>
      </c>
      <c r="E17" s="16"/>
      <c r="F17" s="5"/>
      <c r="G17" s="17" t="s">
        <v>98</v>
      </c>
      <c r="H17" s="15"/>
    </row>
    <row r="18" customFormat="false" ht="15" hidden="false" customHeight="false" outlineLevel="0" collapsed="false">
      <c r="A18" s="13" t="s">
        <v>99</v>
      </c>
      <c r="B18" s="14"/>
      <c r="C18" s="14"/>
      <c r="D18" s="14"/>
      <c r="E18" s="14"/>
      <c r="F18" s="14"/>
      <c r="G18" s="14"/>
      <c r="H18" s="14"/>
    </row>
    <row r="19" customFormat="false" ht="15" hidden="false" customHeight="false" outlineLevel="0" collapsed="false">
      <c r="A19" s="15" t="s">
        <v>100</v>
      </c>
      <c r="B19" s="15" t="s">
        <v>101</v>
      </c>
      <c r="C19" s="15" t="s">
        <v>102</v>
      </c>
      <c r="D19" s="15" t="s">
        <v>56</v>
      </c>
      <c r="E19" s="16"/>
      <c r="F19" s="5"/>
      <c r="G19" s="17" t="s">
        <v>103</v>
      </c>
      <c r="H19" s="15"/>
    </row>
    <row r="20" customFormat="false" ht="15" hidden="false" customHeight="false" outlineLevel="0" collapsed="false">
      <c r="A20" s="15" t="s">
        <v>104</v>
      </c>
      <c r="B20" s="15" t="s">
        <v>105</v>
      </c>
      <c r="C20" s="15" t="s">
        <v>106</v>
      </c>
      <c r="D20" s="15" t="s">
        <v>56</v>
      </c>
      <c r="E20" s="16"/>
      <c r="F20" s="5"/>
      <c r="G20" s="17" t="s">
        <v>107</v>
      </c>
      <c r="H20" s="15"/>
    </row>
    <row r="21" customFormat="false" ht="15" hidden="false" customHeight="false" outlineLevel="0" collapsed="false">
      <c r="A21" s="15" t="s">
        <v>108</v>
      </c>
      <c r="B21" s="15" t="s">
        <v>109</v>
      </c>
      <c r="C21" s="15" t="s">
        <v>110</v>
      </c>
      <c r="D21" s="15" t="s">
        <v>56</v>
      </c>
      <c r="E21" s="16"/>
      <c r="F21" s="5"/>
      <c r="G21" s="17" t="s">
        <v>111</v>
      </c>
      <c r="H21" s="15" t="s">
        <v>112</v>
      </c>
    </row>
    <row r="22" customFormat="false" ht="15" hidden="false" customHeight="false" outlineLevel="0" collapsed="false">
      <c r="A22" s="15" t="s">
        <v>113</v>
      </c>
      <c r="B22" s="15" t="s">
        <v>114</v>
      </c>
      <c r="C22" s="15" t="s">
        <v>115</v>
      </c>
      <c r="D22" s="15" t="s">
        <v>56</v>
      </c>
      <c r="E22" s="16"/>
      <c r="F22" s="5"/>
      <c r="G22" s="17" t="s">
        <v>116</v>
      </c>
      <c r="H22" s="15"/>
    </row>
    <row r="23" customFormat="false" ht="15" hidden="false" customHeight="false" outlineLevel="0" collapsed="false">
      <c r="A23" s="15" t="s">
        <v>117</v>
      </c>
      <c r="B23" s="15" t="s">
        <v>118</v>
      </c>
      <c r="C23" s="15" t="s">
        <v>119</v>
      </c>
      <c r="D23" s="15" t="s">
        <v>56</v>
      </c>
      <c r="E23" s="16"/>
      <c r="F23" s="5"/>
      <c r="G23" s="17" t="s">
        <v>120</v>
      </c>
      <c r="H23" s="15"/>
    </row>
    <row r="24" customFormat="false" ht="15" hidden="false" customHeight="false" outlineLevel="0" collapsed="false">
      <c r="A24" s="15" t="s">
        <v>121</v>
      </c>
      <c r="B24" s="15" t="s">
        <v>122</v>
      </c>
      <c r="C24" s="15" t="s">
        <v>123</v>
      </c>
      <c r="D24" s="15" t="s">
        <v>56</v>
      </c>
      <c r="E24" s="16"/>
      <c r="F24" s="5"/>
      <c r="G24" s="17" t="s">
        <v>103</v>
      </c>
      <c r="H24" s="15"/>
    </row>
    <row r="25" customFormat="false" ht="15" hidden="false" customHeight="false" outlineLevel="0" collapsed="false">
      <c r="A25" s="15" t="s">
        <v>124</v>
      </c>
      <c r="B25" s="15" t="s">
        <v>125</v>
      </c>
      <c r="C25" s="15" t="s">
        <v>126</v>
      </c>
      <c r="D25" s="15" t="s">
        <v>56</v>
      </c>
      <c r="E25" s="16"/>
      <c r="F25" s="5"/>
      <c r="G25" s="17" t="s">
        <v>127</v>
      </c>
      <c r="H25" s="15"/>
    </row>
    <row r="26" customFormat="false" ht="15" hidden="false" customHeight="false" outlineLevel="0" collapsed="false">
      <c r="A26" s="13" t="s">
        <v>128</v>
      </c>
      <c r="B26" s="14"/>
      <c r="C26" s="14"/>
      <c r="D26" s="14"/>
      <c r="E26" s="14"/>
      <c r="F26" s="14"/>
      <c r="G26" s="14"/>
      <c r="H26" s="14"/>
    </row>
    <row r="27" customFormat="false" ht="15" hidden="false" customHeight="false" outlineLevel="0" collapsed="false">
      <c r="A27" s="15" t="s">
        <v>129</v>
      </c>
      <c r="B27" s="15" t="s">
        <v>130</v>
      </c>
      <c r="C27" s="15" t="s">
        <v>131</v>
      </c>
      <c r="D27" s="15" t="s">
        <v>56</v>
      </c>
      <c r="E27" s="16"/>
      <c r="F27" s="5"/>
      <c r="G27" s="17" t="s">
        <v>132</v>
      </c>
      <c r="H27" s="15"/>
    </row>
    <row r="28" customFormat="false" ht="15" hidden="false" customHeight="false" outlineLevel="0" collapsed="false">
      <c r="A28" s="15" t="s">
        <v>133</v>
      </c>
      <c r="B28" s="15" t="s">
        <v>134</v>
      </c>
      <c r="C28" s="15" t="s">
        <v>135</v>
      </c>
      <c r="D28" s="15" t="s">
        <v>56</v>
      </c>
      <c r="E28" s="16"/>
      <c r="F28" s="5"/>
      <c r="G28" s="17" t="s">
        <v>111</v>
      </c>
      <c r="H28" s="15"/>
    </row>
    <row r="29" customFormat="false" ht="15" hidden="false" customHeight="false" outlineLevel="0" collapsed="false">
      <c r="A29" s="15" t="s">
        <v>136</v>
      </c>
      <c r="B29" s="15" t="s">
        <v>137</v>
      </c>
      <c r="C29" s="15" t="s">
        <v>138</v>
      </c>
      <c r="D29" s="15" t="s">
        <v>56</v>
      </c>
      <c r="E29" s="16"/>
      <c r="F29" s="5"/>
      <c r="G29" s="17" t="s">
        <v>139</v>
      </c>
      <c r="H29" s="15"/>
    </row>
    <row r="30" customFormat="false" ht="15" hidden="false" customHeight="false" outlineLevel="0" collapsed="false">
      <c r="A30" s="15" t="s">
        <v>140</v>
      </c>
      <c r="B30" s="15" t="s">
        <v>141</v>
      </c>
      <c r="C30" s="15" t="s">
        <v>142</v>
      </c>
      <c r="D30" s="15" t="s">
        <v>56</v>
      </c>
      <c r="E30" s="16"/>
      <c r="F30" s="5"/>
      <c r="G30" s="17" t="s">
        <v>139</v>
      </c>
      <c r="H30" s="15"/>
    </row>
    <row r="31" customFormat="false" ht="15" hidden="false" customHeight="false" outlineLevel="0" collapsed="false">
      <c r="A31" s="15" t="s">
        <v>143</v>
      </c>
      <c r="B31" s="15" t="s">
        <v>144</v>
      </c>
      <c r="C31" s="15" t="s">
        <v>145</v>
      </c>
      <c r="D31" s="15" t="s">
        <v>146</v>
      </c>
      <c r="E31" s="16"/>
      <c r="F31" s="5"/>
      <c r="G31" s="17" t="s">
        <v>147</v>
      </c>
      <c r="H31" s="15"/>
    </row>
    <row r="32" customFormat="false" ht="15" hidden="false" customHeight="false" outlineLevel="0" collapsed="false">
      <c r="A32" s="15" t="s">
        <v>148</v>
      </c>
      <c r="B32" s="15" t="s">
        <v>149</v>
      </c>
      <c r="C32" s="15" t="s">
        <v>150</v>
      </c>
      <c r="D32" s="15" t="s">
        <v>56</v>
      </c>
      <c r="E32" s="16"/>
      <c r="F32" s="5"/>
      <c r="G32" s="17"/>
      <c r="H32" s="15" t="s">
        <v>151</v>
      </c>
    </row>
    <row r="33" customFormat="false" ht="15" hidden="false" customHeight="false" outlineLevel="0" collapsed="false">
      <c r="A33" s="13" t="s">
        <v>152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5" t="s">
        <v>153</v>
      </c>
      <c r="B34" s="15" t="s">
        <v>154</v>
      </c>
      <c r="C34" s="15" t="s">
        <v>155</v>
      </c>
      <c r="D34" s="15" t="s">
        <v>56</v>
      </c>
      <c r="E34" s="16"/>
      <c r="F34" s="5"/>
      <c r="G34" s="17" t="s">
        <v>156</v>
      </c>
      <c r="H34" s="15"/>
    </row>
    <row r="35" customFormat="false" ht="15" hidden="false" customHeight="false" outlineLevel="0" collapsed="false">
      <c r="A35" s="15" t="s">
        <v>157</v>
      </c>
      <c r="B35" s="15" t="s">
        <v>158</v>
      </c>
      <c r="C35" s="15" t="s">
        <v>159</v>
      </c>
      <c r="D35" s="15" t="s">
        <v>56</v>
      </c>
      <c r="E35" s="16"/>
      <c r="F35" s="5"/>
      <c r="G35" s="17" t="s">
        <v>160</v>
      </c>
      <c r="H35" s="15" t="s">
        <v>161</v>
      </c>
    </row>
    <row r="36" customFormat="false" ht="15" hidden="false" customHeight="false" outlineLevel="0" collapsed="false">
      <c r="A36" s="15" t="s">
        <v>162</v>
      </c>
      <c r="B36" s="15" t="s">
        <v>163</v>
      </c>
      <c r="C36" s="15" t="s">
        <v>164</v>
      </c>
      <c r="D36" s="15" t="s">
        <v>56</v>
      </c>
      <c r="E36" s="16"/>
      <c r="F36" s="5"/>
      <c r="G36" s="17" t="s">
        <v>165</v>
      </c>
      <c r="H36" s="15" t="s">
        <v>161</v>
      </c>
    </row>
    <row r="37" customFormat="false" ht="15" hidden="false" customHeight="false" outlineLevel="0" collapsed="false">
      <c r="A37" s="15" t="s">
        <v>166</v>
      </c>
      <c r="B37" s="15" t="s">
        <v>167</v>
      </c>
      <c r="C37" s="15" t="s">
        <v>168</v>
      </c>
      <c r="D37" s="15" t="s">
        <v>146</v>
      </c>
      <c r="E37" s="16"/>
      <c r="F37" s="5"/>
      <c r="G37" s="17" t="s">
        <v>169</v>
      </c>
      <c r="H37" s="15"/>
    </row>
    <row r="38" customFormat="false" ht="15" hidden="false" customHeight="false" outlineLevel="0" collapsed="false">
      <c r="A38" s="13" t="s">
        <v>170</v>
      </c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5" t="s">
        <v>171</v>
      </c>
      <c r="B39" s="15" t="s">
        <v>172</v>
      </c>
      <c r="C39" s="15" t="s">
        <v>173</v>
      </c>
      <c r="D39" s="15" t="s">
        <v>93</v>
      </c>
      <c r="E39" s="16"/>
      <c r="F39" s="5"/>
      <c r="G39" s="17" t="s">
        <v>174</v>
      </c>
      <c r="H39" s="15"/>
    </row>
    <row r="40" customFormat="false" ht="15" hidden="false" customHeight="false" outlineLevel="0" collapsed="false">
      <c r="A40" s="15" t="s">
        <v>175</v>
      </c>
      <c r="B40" s="15" t="s">
        <v>176</v>
      </c>
      <c r="C40" s="15" t="s">
        <v>177</v>
      </c>
      <c r="D40" s="15" t="s">
        <v>93</v>
      </c>
      <c r="E40" s="16"/>
      <c r="F40" s="5"/>
      <c r="G40" s="17" t="s">
        <v>178</v>
      </c>
      <c r="H40" s="15"/>
    </row>
    <row r="41" customFormat="false" ht="15" hidden="false" customHeight="false" outlineLevel="0" collapsed="false">
      <c r="A41" s="13" t="s">
        <v>179</v>
      </c>
      <c r="B41" s="14"/>
      <c r="C41" s="14"/>
      <c r="D41" s="14"/>
      <c r="E41" s="14"/>
      <c r="F41" s="14"/>
      <c r="G41" s="14"/>
      <c r="H41" s="14"/>
    </row>
    <row r="42" customFormat="false" ht="15" hidden="false" customHeight="false" outlineLevel="0" collapsed="false">
      <c r="A42" s="15" t="s">
        <v>180</v>
      </c>
      <c r="B42" s="15" t="s">
        <v>181</v>
      </c>
      <c r="C42" s="15" t="s">
        <v>182</v>
      </c>
      <c r="D42" s="15" t="s">
        <v>183</v>
      </c>
      <c r="E42" s="16"/>
      <c r="F42" s="5"/>
      <c r="G42" s="17"/>
      <c r="H42" s="15" t="s">
        <v>184</v>
      </c>
    </row>
    <row r="43" customFormat="false" ht="15" hidden="false" customHeight="false" outlineLevel="0" collapsed="false">
      <c r="A43" s="13" t="s">
        <v>185</v>
      </c>
      <c r="B43" s="14"/>
      <c r="C43" s="14"/>
      <c r="D43" s="14"/>
      <c r="E43" s="14"/>
      <c r="F43" s="14"/>
      <c r="G43" s="14"/>
      <c r="H43" s="14"/>
    </row>
    <row r="44" customFormat="false" ht="15" hidden="false" customHeight="false" outlineLevel="0" collapsed="false">
      <c r="A44" s="15"/>
      <c r="B44" s="18"/>
      <c r="C44" s="15"/>
      <c r="D44" s="18"/>
      <c r="E44" s="16"/>
      <c r="F44" s="5"/>
      <c r="G44" s="15"/>
      <c r="H44" s="15"/>
    </row>
    <row r="45" customFormat="false" ht="15" hidden="false" customHeight="false" outlineLevel="0" collapsed="false">
      <c r="A45" s="15"/>
      <c r="B45" s="18"/>
      <c r="C45" s="15"/>
      <c r="D45" s="18"/>
      <c r="E45" s="16"/>
      <c r="F45" s="5"/>
      <c r="G45" s="15"/>
      <c r="H45" s="15"/>
    </row>
    <row r="46" customFormat="false" ht="15" hidden="false" customHeight="false" outlineLevel="0" collapsed="false">
      <c r="A46" s="15"/>
      <c r="B46" s="18"/>
      <c r="C46" s="15"/>
      <c r="D46" s="18"/>
      <c r="E46" s="16"/>
      <c r="F46" s="5"/>
      <c r="G46" s="15"/>
      <c r="H46" s="15"/>
    </row>
    <row r="47" customFormat="false" ht="15" hidden="false" customHeight="false" outlineLevel="0" collapsed="false">
      <c r="A47" s="15"/>
      <c r="B47" s="18"/>
      <c r="C47" s="15"/>
      <c r="D47" s="18"/>
      <c r="E47" s="16"/>
      <c r="F47" s="5"/>
      <c r="G47" s="15"/>
      <c r="H47" s="15"/>
    </row>
    <row r="48" customFormat="false" ht="15" hidden="false" customHeight="false" outlineLevel="0" collapsed="false">
      <c r="A48" s="15"/>
      <c r="B48" s="18"/>
      <c r="C48" s="15"/>
      <c r="D48" s="18"/>
      <c r="E48" s="16"/>
      <c r="F48" s="5"/>
      <c r="G48" s="15"/>
      <c r="H48" s="15"/>
    </row>
    <row r="49" customFormat="false" ht="15" hidden="false" customHeight="false" outlineLevel="0" collapsed="false">
      <c r="A49" s="15"/>
      <c r="B49" s="18"/>
      <c r="C49" s="15"/>
      <c r="D49" s="18"/>
      <c r="E49" s="16"/>
      <c r="F49" s="5"/>
      <c r="G49" s="15"/>
      <c r="H49" s="15"/>
    </row>
    <row r="50" customFormat="false" ht="15" hidden="false" customHeight="false" outlineLevel="0" collapsed="false">
      <c r="A50" s="15"/>
      <c r="B50" s="18"/>
      <c r="C50" s="15"/>
      <c r="D50" s="18"/>
      <c r="E50" s="16"/>
      <c r="F50" s="5"/>
      <c r="G50" s="15"/>
      <c r="H50" s="15"/>
    </row>
    <row r="51" customFormat="false" ht="15" hidden="false" customHeight="false" outlineLevel="0" collapsed="false">
      <c r="A51" s="15"/>
      <c r="B51" s="18"/>
      <c r="C51" s="15"/>
      <c r="D51" s="18"/>
      <c r="E51" s="16"/>
      <c r="F51" s="5"/>
      <c r="G51" s="15"/>
      <c r="H51" s="15"/>
    </row>
    <row r="52" customFormat="false" ht="15" hidden="false" customHeight="false" outlineLevel="0" collapsed="false">
      <c r="A52" s="15"/>
      <c r="B52" s="18"/>
      <c r="C52" s="15"/>
      <c r="D52" s="18"/>
      <c r="E52" s="16"/>
      <c r="F52" s="5"/>
      <c r="G52" s="15"/>
      <c r="H52" s="15"/>
    </row>
    <row r="53" customFormat="false" ht="15" hidden="false" customHeight="false" outlineLevel="0" collapsed="false">
      <c r="A53" s="15"/>
      <c r="B53" s="18"/>
      <c r="C53" s="15"/>
      <c r="D53" s="18"/>
      <c r="E53" s="16"/>
      <c r="F53" s="5"/>
      <c r="G53" s="15"/>
      <c r="H53" s="15"/>
    </row>
    <row r="55" customFormat="false" ht="15" hidden="false" customHeight="false" outlineLevel="0" collapsed="false">
      <c r="A55" s="2" t="s">
        <v>186</v>
      </c>
    </row>
    <row r="56" customFormat="false" ht="15" hidden="false" customHeight="false" outlineLevel="0" collapsed="false">
      <c r="A56" s="19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5" min="14" style="0" width="12"/>
    <col collapsed="false" customWidth="true" hidden="false" outlineLevel="0" max="17" min="16" style="0" width="14"/>
  </cols>
  <sheetData>
    <row r="1" customFormat="false" ht="17.35" hidden="false" customHeight="false" outlineLevel="0" collapsed="false">
      <c r="A1" s="1" t="s">
        <v>188</v>
      </c>
    </row>
    <row r="2" customFormat="false" ht="15" hidden="false" customHeight="false" outlineLevel="0" collapsed="false">
      <c r="A2" s="6" t="s">
        <v>189</v>
      </c>
      <c r="C2" s="20"/>
      <c r="D2" s="20"/>
      <c r="E2" s="20"/>
      <c r="F2" s="20"/>
      <c r="G2" s="20"/>
      <c r="H2" s="20"/>
    </row>
    <row r="3" customFormat="false" ht="15" hidden="false" customHeight="false" outlineLevel="0" collapsed="false">
      <c r="A3" s="2" t="s">
        <v>190</v>
      </c>
    </row>
    <row r="5" customFormat="false" ht="60" hidden="false" customHeight="true" outlineLevel="0" collapsed="false">
      <c r="A5" s="3" t="s">
        <v>191</v>
      </c>
      <c r="B5" s="3" t="s">
        <v>192</v>
      </c>
      <c r="C5" s="3" t="s">
        <v>4</v>
      </c>
      <c r="D5" s="3" t="s">
        <v>193</v>
      </c>
      <c r="E5" s="3" t="s">
        <v>194</v>
      </c>
      <c r="F5" s="3" t="s">
        <v>195</v>
      </c>
      <c r="G5" s="3" t="s">
        <v>196</v>
      </c>
      <c r="H5" s="3" t="s">
        <v>197</v>
      </c>
      <c r="I5" s="3" t="s">
        <v>198</v>
      </c>
      <c r="J5" s="3" t="s">
        <v>199</v>
      </c>
      <c r="K5" s="3" t="s">
        <v>200</v>
      </c>
      <c r="L5" s="3" t="s">
        <v>201</v>
      </c>
      <c r="M5" s="3" t="s">
        <v>202</v>
      </c>
      <c r="N5" s="3" t="s">
        <v>203</v>
      </c>
      <c r="O5" s="3" t="s">
        <v>204</v>
      </c>
      <c r="P5" s="3" t="s">
        <v>205</v>
      </c>
      <c r="Q5" s="3" t="s">
        <v>206</v>
      </c>
    </row>
    <row r="6" customFormat="false" ht="15" hidden="false" customHeight="false" outlineLevel="0" collapsed="false">
      <c r="A6" s="15" t="n">
        <v>1</v>
      </c>
      <c r="B6" s="18" t="s">
        <v>77</v>
      </c>
      <c r="C6" s="15" t="str">
        <f aca="false">IF($B6="","",IFERROR(INDEX(Позиции!$D$5:$D$53,MATCH($B6,Позиции!$B$5:$B$53,0)),""))</f>
        <v>m²</v>
      </c>
      <c r="D6" s="21" t="n">
        <v>25</v>
      </c>
      <c r="E6" s="18" t="s">
        <v>207</v>
      </c>
      <c r="F6" s="22" t="str">
        <f aca="false">IF($B6="","",IFERROR(IF(INDEX(Позиции!$E$5:$E$53,MATCH($B6,Позиции!$B$5:$B$53,0))="","нет ставки",INDEX(Позиции!$E$5:$E$53,MATCH($B6,Позиции!$B$5:$B$53,0))),"нет ставки"))</f>
        <v>нет ставки</v>
      </c>
      <c r="G6" s="23" t="str">
        <f aca="false">IF($B6="","",IF($E6="Meister",IF(ISBLANK(Ставки!$B$5),"нет ставки",Ставки!$B$5),IF(ISBLANK(Ставки!$B$4),"нет ставки",Ставки!$B$4)))</f>
        <v>нет ставки</v>
      </c>
      <c r="H6" s="23" t="str">
        <f aca="false">IF($B6="","",IF(AND(ISNUMBER($D6),ISNUMBER($F6),ISNUMBER($G6)),$D6*$F6*$G6,"нет ставки"))</f>
        <v>нет ставки</v>
      </c>
      <c r="I6" s="23" t="str">
        <f aca="false">IF($B6="","",IFERROR(IF(INDEX(Позиции!$F$5:$F$53,MATCH($B6,Позиции!$B$5:$B$53,0))="","нет ставки",INDEX(Позиции!$F$5:$F$53,MATCH($B6,Позиции!$B$5:$B$53,0))),"нет ставки"))</f>
        <v>нет ставки</v>
      </c>
      <c r="J6" s="23" t="str">
        <f aca="false">IF($B6="","",IF(AND(ISNUMBER($D6),ISNUMBER($I6),NOT(ISBLANK(Ставки!$B$6))),$D6*$I6*(1+Ставки!$B$6),"нет ставки"))</f>
        <v>нет ставки</v>
      </c>
      <c r="K6" s="23" t="str">
        <f aca="false">IF($B6="","",IF(AND(ISNUMBER($H6),ISNUMBER($J6)),$H6+$J6,"нет ставки"))</f>
        <v>нет ставки</v>
      </c>
      <c r="L6" s="23" t="str">
        <f aca="false">IF($B6="","",IF(AND(ISNUMBER($K6),NOT(ISBLANK(Ставки!$B$7))),$K6*Ставки!$B$7,"нет ставки"))</f>
        <v>нет ставки</v>
      </c>
      <c r="M6" s="23" t="str">
        <f aca="false">IF($B6="","",IF(AND(ISNUMBER($K6),ISNUMBER($L6)),$K6+$L6,"нет ставки"))</f>
        <v>нет ставки</v>
      </c>
      <c r="N6" s="23" t="str">
        <f aca="false">IF($B6="","",IF(AND(ISNUMBER($M6),NOT(ISBLANK(Ставки!$B$8))),$M6*Ставки!$B$8,"нет ставки"))</f>
        <v>нет ставки</v>
      </c>
      <c r="O6" s="23" t="str">
        <f aca="false">IF($B6="","",IF(AND(ISNUMBER($M6),NOT(ISBLANK(Ставки!$B$9))),$M6*Ставки!$B$9,"нет ставки"))</f>
        <v>нет ставки</v>
      </c>
      <c r="P6" s="23" t="str">
        <f aca="false">IF($B6="","",IF(AND(ISNUMBER($M6),ISNUMBER($N6),ISNUMBER($O6)),$M6+$N6+$O6,"нет ставки"))</f>
        <v>нет ставки</v>
      </c>
      <c r="Q6" s="23" t="str">
        <f aca="false">IF($B6="","",IF(AND(ISNUMBER($P6),ISNUMBER($D6)),IF($D6=0,"нет ставки",$P6/$D6),"нет ставки"))</f>
        <v>нет ставки</v>
      </c>
    </row>
    <row r="7" customFormat="false" ht="15" hidden="false" customHeight="false" outlineLevel="0" collapsed="false">
      <c r="A7" s="15" t="n">
        <v>2</v>
      </c>
      <c r="B7" s="18"/>
      <c r="C7" s="15" t="str">
        <f aca="false">IF($B7="","",IFERROR(INDEX(Позиции!$D$5:$D$53,MATCH($B7,Позиции!$B$5:$B$53,0)),""))</f>
        <v/>
      </c>
      <c r="D7" s="21"/>
      <c r="E7" s="18" t="s">
        <v>207</v>
      </c>
      <c r="F7" s="22" t="str">
        <f aca="false">IF($B7="","",IFERROR(IF(INDEX(Позиции!$E$5:$E$53,MATCH($B7,Позиции!$B$5:$B$53,0))="","нет ставки",INDEX(Позиции!$E$5:$E$53,MATCH($B7,Позиции!$B$5:$B$53,0))),"нет ставки"))</f>
        <v/>
      </c>
      <c r="G7" s="23" t="str">
        <f aca="false">IF($B7="","",IF($E7="Meister",IF(ISBLANK(Ставки!$B$5),"нет ставки",Ставки!$B$5),IF(ISBLANK(Ставки!$B$4),"нет ставки",Ставки!$B$4)))</f>
        <v/>
      </c>
      <c r="H7" s="23" t="str">
        <f aca="false">IF($B7="","",IF(AND(ISNUMBER($D7),ISNUMBER($F7),ISNUMBER($G7)),$D7*$F7*$G7,"нет ставки"))</f>
        <v/>
      </c>
      <c r="I7" s="23" t="str">
        <f aca="false">IF($B7="","",IFERROR(IF(INDEX(Позиции!$F$5:$F$53,MATCH($B7,Позиции!$B$5:$B$53,0))="","нет ставки",INDEX(Позиции!$F$5:$F$53,MATCH($B7,Позиции!$B$5:$B$53,0))),"нет ставки"))</f>
        <v/>
      </c>
      <c r="J7" s="23" t="str">
        <f aca="false">IF($B7="","",IF(AND(ISNUMBER($D7),ISNUMBER($I7),NOT(ISBLANK(Ставки!$B$6))),$D7*$I7*(1+Ставки!$B$6),"нет ставки"))</f>
        <v/>
      </c>
      <c r="K7" s="23" t="str">
        <f aca="false">IF($B7="","",IF(AND(ISNUMBER($H7),ISNUMBER($J7)),$H7+$J7,"нет ставки"))</f>
        <v/>
      </c>
      <c r="L7" s="23" t="str">
        <f aca="false">IF($B7="","",IF(AND(ISNUMBER($K7),NOT(ISBLANK(Ставки!$B$7))),$K7*Ставки!$B$7,"нет ставки"))</f>
        <v/>
      </c>
      <c r="M7" s="23" t="str">
        <f aca="false">IF($B7="","",IF(AND(ISNUMBER($K7),ISNUMBER($L7)),$K7+$L7,"нет ставки"))</f>
        <v/>
      </c>
      <c r="N7" s="23" t="str">
        <f aca="false">IF($B7="","",IF(AND(ISNUMBER($M7),NOT(ISBLANK(Ставки!$B$8))),$M7*Ставки!$B$8,"нет ставки"))</f>
        <v/>
      </c>
      <c r="O7" s="23" t="str">
        <f aca="false">IF($B7="","",IF(AND(ISNUMBER($M7),NOT(ISBLANK(Ставки!$B$9))),$M7*Ставки!$B$9,"нет ставки"))</f>
        <v/>
      </c>
      <c r="P7" s="23" t="str">
        <f aca="false">IF($B7="","",IF(AND(ISNUMBER($M7),ISNUMBER($N7),ISNUMBER($O7)),$M7+$N7+$O7,"нет ставки"))</f>
        <v/>
      </c>
      <c r="Q7" s="23" t="str">
        <f aca="false">IF($B7="","",IF(AND(ISNUMBER($P7),ISNUMBER($D7)),IF($D7=0,"нет ставки",$P7/$D7),"нет ставки"))</f>
        <v/>
      </c>
    </row>
    <row r="8" customFormat="false" ht="15" hidden="false" customHeight="false" outlineLevel="0" collapsed="false">
      <c r="A8" s="15" t="n">
        <v>3</v>
      </c>
      <c r="B8" s="18"/>
      <c r="C8" s="15" t="str">
        <f aca="false">IF($B8="","",IFERROR(INDEX(Позиции!$D$5:$D$53,MATCH($B8,Позиции!$B$5:$B$53,0)),""))</f>
        <v/>
      </c>
      <c r="D8" s="21"/>
      <c r="E8" s="18" t="s">
        <v>207</v>
      </c>
      <c r="F8" s="22" t="str">
        <f aca="false">IF($B8="","",IFERROR(IF(INDEX(Позиции!$E$5:$E$53,MATCH($B8,Позиции!$B$5:$B$53,0))="","нет ставки",INDEX(Позиции!$E$5:$E$53,MATCH($B8,Позиции!$B$5:$B$53,0))),"нет ставки"))</f>
        <v/>
      </c>
      <c r="G8" s="23" t="str">
        <f aca="false">IF($B8="","",IF($E8="Meister",IF(ISBLANK(Ставки!$B$5),"нет ставки",Ставки!$B$5),IF(ISBLANK(Ставки!$B$4),"нет ставки",Ставки!$B$4)))</f>
        <v/>
      </c>
      <c r="H8" s="23" t="str">
        <f aca="false">IF($B8="","",IF(AND(ISNUMBER($D8),ISNUMBER($F8),ISNUMBER($G8)),$D8*$F8*$G8,"нет ставки"))</f>
        <v/>
      </c>
      <c r="I8" s="23" t="str">
        <f aca="false">IF($B8="","",IFERROR(IF(INDEX(Позиции!$F$5:$F$53,MATCH($B8,Позиции!$B$5:$B$53,0))="","нет ставки",INDEX(Позиции!$F$5:$F$53,MATCH($B8,Позиции!$B$5:$B$53,0))),"нет ставки"))</f>
        <v/>
      </c>
      <c r="J8" s="23" t="str">
        <f aca="false">IF($B8="","",IF(AND(ISNUMBER($D8),ISNUMBER($I8),NOT(ISBLANK(Ставки!$B$6))),$D8*$I8*(1+Ставки!$B$6),"нет ставки"))</f>
        <v/>
      </c>
      <c r="K8" s="23" t="str">
        <f aca="false">IF($B8="","",IF(AND(ISNUMBER($H8),ISNUMBER($J8)),$H8+$J8,"нет ставки"))</f>
        <v/>
      </c>
      <c r="L8" s="23" t="str">
        <f aca="false">IF($B8="","",IF(AND(ISNUMBER($K8),NOT(ISBLANK(Ставки!$B$7))),$K8*Ставки!$B$7,"нет ставки"))</f>
        <v/>
      </c>
      <c r="M8" s="23" t="str">
        <f aca="false">IF($B8="","",IF(AND(ISNUMBER($K8),ISNUMBER($L8)),$K8+$L8,"нет ставки"))</f>
        <v/>
      </c>
      <c r="N8" s="23" t="str">
        <f aca="false">IF($B8="","",IF(AND(ISNUMBER($M8),NOT(ISBLANK(Ставки!$B$8))),$M8*Ставки!$B$8,"нет ставки"))</f>
        <v/>
      </c>
      <c r="O8" s="23" t="str">
        <f aca="false">IF($B8="","",IF(AND(ISNUMBER($M8),NOT(ISBLANK(Ставки!$B$9))),$M8*Ставки!$B$9,"нет ставки"))</f>
        <v/>
      </c>
      <c r="P8" s="23" t="str">
        <f aca="false">IF($B8="","",IF(AND(ISNUMBER($M8),ISNUMBER($N8),ISNUMBER($O8)),$M8+$N8+$O8,"нет ставки"))</f>
        <v/>
      </c>
      <c r="Q8" s="23" t="str">
        <f aca="false">IF($B8="","",IF(AND(ISNUMBER($P8),ISNUMBER($D8)),IF($D8=0,"нет ставки",$P8/$D8),"нет ставки"))</f>
        <v/>
      </c>
    </row>
    <row r="9" customFormat="false" ht="15" hidden="false" customHeight="false" outlineLevel="0" collapsed="false">
      <c r="A9" s="15" t="n">
        <v>4</v>
      </c>
      <c r="B9" s="18"/>
      <c r="C9" s="15" t="str">
        <f aca="false">IF($B9="","",IFERROR(INDEX(Позиции!$D$5:$D$53,MATCH($B9,Позиции!$B$5:$B$53,0)),""))</f>
        <v/>
      </c>
      <c r="D9" s="21"/>
      <c r="E9" s="18" t="s">
        <v>207</v>
      </c>
      <c r="F9" s="22" t="str">
        <f aca="false">IF($B9="","",IFERROR(IF(INDEX(Позиции!$E$5:$E$53,MATCH($B9,Позиции!$B$5:$B$53,0))="","нет ставки",INDEX(Позиции!$E$5:$E$53,MATCH($B9,Позиции!$B$5:$B$53,0))),"нет ставки"))</f>
        <v/>
      </c>
      <c r="G9" s="23" t="str">
        <f aca="false">IF($B9="","",IF($E9="Meister",IF(ISBLANK(Ставки!$B$5),"нет ставки",Ставки!$B$5),IF(ISBLANK(Ставки!$B$4),"нет ставки",Ставки!$B$4)))</f>
        <v/>
      </c>
      <c r="H9" s="23" t="str">
        <f aca="false">IF($B9="","",IF(AND(ISNUMBER($D9),ISNUMBER($F9),ISNUMBER($G9)),$D9*$F9*$G9,"нет ставки"))</f>
        <v/>
      </c>
      <c r="I9" s="23" t="str">
        <f aca="false">IF($B9="","",IFERROR(IF(INDEX(Позиции!$F$5:$F$53,MATCH($B9,Позиции!$B$5:$B$53,0))="","нет ставки",INDEX(Позиции!$F$5:$F$53,MATCH($B9,Позиции!$B$5:$B$53,0))),"нет ставки"))</f>
        <v/>
      </c>
      <c r="J9" s="23" t="str">
        <f aca="false">IF($B9="","",IF(AND(ISNUMBER($D9),ISNUMBER($I9),NOT(ISBLANK(Ставки!$B$6))),$D9*$I9*(1+Ставки!$B$6),"нет ставки"))</f>
        <v/>
      </c>
      <c r="K9" s="23" t="str">
        <f aca="false">IF($B9="","",IF(AND(ISNUMBER($H9),ISNUMBER($J9)),$H9+$J9,"нет ставки"))</f>
        <v/>
      </c>
      <c r="L9" s="23" t="str">
        <f aca="false">IF($B9="","",IF(AND(ISNUMBER($K9),NOT(ISBLANK(Ставки!$B$7))),$K9*Ставки!$B$7,"нет ставки"))</f>
        <v/>
      </c>
      <c r="M9" s="23" t="str">
        <f aca="false">IF($B9="","",IF(AND(ISNUMBER($K9),ISNUMBER($L9)),$K9+$L9,"нет ставки"))</f>
        <v/>
      </c>
      <c r="N9" s="23" t="str">
        <f aca="false">IF($B9="","",IF(AND(ISNUMBER($M9),NOT(ISBLANK(Ставки!$B$8))),$M9*Ставки!$B$8,"нет ставки"))</f>
        <v/>
      </c>
      <c r="O9" s="23" t="str">
        <f aca="false">IF($B9="","",IF(AND(ISNUMBER($M9),NOT(ISBLANK(Ставки!$B$9))),$M9*Ставки!$B$9,"нет ставки"))</f>
        <v/>
      </c>
      <c r="P9" s="23" t="str">
        <f aca="false">IF($B9="","",IF(AND(ISNUMBER($M9),ISNUMBER($N9),ISNUMBER($O9)),$M9+$N9+$O9,"нет ставки"))</f>
        <v/>
      </c>
      <c r="Q9" s="23" t="str">
        <f aca="false">IF($B9="","",IF(AND(ISNUMBER($P9),ISNUMBER($D9)),IF($D9=0,"нет ставки",$P9/$D9),"нет ставки"))</f>
        <v/>
      </c>
    </row>
    <row r="10" customFormat="false" ht="15" hidden="false" customHeight="false" outlineLevel="0" collapsed="false">
      <c r="A10" s="15" t="n">
        <v>5</v>
      </c>
      <c r="B10" s="18"/>
      <c r="C10" s="15" t="str">
        <f aca="false">IF($B10="","",IFERROR(INDEX(Позиции!$D$5:$D$53,MATCH($B10,Позиции!$B$5:$B$53,0)),""))</f>
        <v/>
      </c>
      <c r="D10" s="21"/>
      <c r="E10" s="18" t="s">
        <v>207</v>
      </c>
      <c r="F10" s="22" t="str">
        <f aca="false">IF($B10="","",IFERROR(IF(INDEX(Позиции!$E$5:$E$53,MATCH($B10,Позиции!$B$5:$B$53,0))="","нет ставки",INDEX(Позиции!$E$5:$E$53,MATCH($B10,Позиции!$B$5:$B$53,0))),"нет ставки"))</f>
        <v/>
      </c>
      <c r="G10" s="23" t="str">
        <f aca="false">IF($B10="","",IF($E10="Meister",IF(ISBLANK(Ставки!$B$5),"нет ставки",Ставки!$B$5),IF(ISBLANK(Ставки!$B$4),"нет ставки",Ставки!$B$4)))</f>
        <v/>
      </c>
      <c r="H10" s="23" t="str">
        <f aca="false">IF($B10="","",IF(AND(ISNUMBER($D10),ISNUMBER($F10),ISNUMBER($G10)),$D10*$F10*$G10,"нет ставки"))</f>
        <v/>
      </c>
      <c r="I10" s="23" t="str">
        <f aca="false">IF($B10="","",IFERROR(IF(INDEX(Позиции!$F$5:$F$53,MATCH($B10,Позиции!$B$5:$B$53,0))="","нет ставки",INDEX(Позиции!$F$5:$F$53,MATCH($B10,Позиции!$B$5:$B$53,0))),"нет ставки"))</f>
        <v/>
      </c>
      <c r="J10" s="23" t="str">
        <f aca="false">IF($B10="","",IF(AND(ISNUMBER($D10),ISNUMBER($I10),NOT(ISBLANK(Ставки!$B$6))),$D10*$I10*(1+Ставки!$B$6),"нет ставки"))</f>
        <v/>
      </c>
      <c r="K10" s="23" t="str">
        <f aca="false">IF($B10="","",IF(AND(ISNUMBER($H10),ISNUMBER($J10)),$H10+$J10,"нет ставки"))</f>
        <v/>
      </c>
      <c r="L10" s="23" t="str">
        <f aca="false">IF($B10="","",IF(AND(ISNUMBER($K10),NOT(ISBLANK(Ставки!$B$7))),$K10*Ставки!$B$7,"нет ставки"))</f>
        <v/>
      </c>
      <c r="M10" s="23" t="str">
        <f aca="false">IF($B10="","",IF(AND(ISNUMBER($K10),ISNUMBER($L10)),$K10+$L10,"нет ставки"))</f>
        <v/>
      </c>
      <c r="N10" s="23" t="str">
        <f aca="false">IF($B10="","",IF(AND(ISNUMBER($M10),NOT(ISBLANK(Ставки!$B$8))),$M10*Ставки!$B$8,"нет ставки"))</f>
        <v/>
      </c>
      <c r="O10" s="23" t="str">
        <f aca="false">IF($B10="","",IF(AND(ISNUMBER($M10),NOT(ISBLANK(Ставки!$B$9))),$M10*Ставки!$B$9,"нет ставки"))</f>
        <v/>
      </c>
      <c r="P10" s="23" t="str">
        <f aca="false">IF($B10="","",IF(AND(ISNUMBER($M10),ISNUMBER($N10),ISNUMBER($O10)),$M10+$N10+$O10,"нет ставки"))</f>
        <v/>
      </c>
      <c r="Q10" s="23" t="str">
        <f aca="false">IF($B10="","",IF(AND(ISNUMBER($P10),ISNUMBER($D10)),IF($D10=0,"нет ставки",$P10/$D10),"нет ставки"))</f>
        <v/>
      </c>
    </row>
    <row r="11" customFormat="false" ht="15" hidden="false" customHeight="false" outlineLevel="0" collapsed="false">
      <c r="A11" s="15" t="n">
        <v>6</v>
      </c>
      <c r="B11" s="18"/>
      <c r="C11" s="15" t="str">
        <f aca="false">IF($B11="","",IFERROR(INDEX(Позиции!$D$5:$D$53,MATCH($B11,Позиции!$B$5:$B$53,0)),""))</f>
        <v/>
      </c>
      <c r="D11" s="21"/>
      <c r="E11" s="18" t="s">
        <v>207</v>
      </c>
      <c r="F11" s="22" t="str">
        <f aca="false">IF($B11="","",IFERROR(IF(INDEX(Позиции!$E$5:$E$53,MATCH($B11,Позиции!$B$5:$B$53,0))="","нет ставки",INDEX(Позиции!$E$5:$E$53,MATCH($B11,Позиции!$B$5:$B$53,0))),"нет ставки"))</f>
        <v/>
      </c>
      <c r="G11" s="23" t="str">
        <f aca="false">IF($B11="","",IF($E11="Meister",IF(ISBLANK(Ставки!$B$5),"нет ставки",Ставки!$B$5),IF(ISBLANK(Ставки!$B$4),"нет ставки",Ставки!$B$4)))</f>
        <v/>
      </c>
      <c r="H11" s="23" t="str">
        <f aca="false">IF($B11="","",IF(AND(ISNUMBER($D11),ISNUMBER($F11),ISNUMBER($G11)),$D11*$F11*$G11,"нет ставки"))</f>
        <v/>
      </c>
      <c r="I11" s="23" t="str">
        <f aca="false">IF($B11="","",IFERROR(IF(INDEX(Позиции!$F$5:$F$53,MATCH($B11,Позиции!$B$5:$B$53,0))="","нет ставки",INDEX(Позиции!$F$5:$F$53,MATCH($B11,Позиции!$B$5:$B$53,0))),"нет ставки"))</f>
        <v/>
      </c>
      <c r="J11" s="23" t="str">
        <f aca="false">IF($B11="","",IF(AND(ISNUMBER($D11),ISNUMBER($I11),NOT(ISBLANK(Ставки!$B$6))),$D11*$I11*(1+Ставки!$B$6),"нет ставки"))</f>
        <v/>
      </c>
      <c r="K11" s="23" t="str">
        <f aca="false">IF($B11="","",IF(AND(ISNUMBER($H11),ISNUMBER($J11)),$H11+$J11,"нет ставки"))</f>
        <v/>
      </c>
      <c r="L11" s="23" t="str">
        <f aca="false">IF($B11="","",IF(AND(ISNUMBER($K11),NOT(ISBLANK(Ставки!$B$7))),$K11*Ставки!$B$7,"нет ставки"))</f>
        <v/>
      </c>
      <c r="M11" s="23" t="str">
        <f aca="false">IF($B11="","",IF(AND(ISNUMBER($K11),ISNUMBER($L11)),$K11+$L11,"нет ставки"))</f>
        <v/>
      </c>
      <c r="N11" s="23" t="str">
        <f aca="false">IF($B11="","",IF(AND(ISNUMBER($M11),NOT(ISBLANK(Ставки!$B$8))),$M11*Ставки!$B$8,"нет ставки"))</f>
        <v/>
      </c>
      <c r="O11" s="23" t="str">
        <f aca="false">IF($B11="","",IF(AND(ISNUMBER($M11),NOT(ISBLANK(Ставки!$B$9))),$M11*Ставки!$B$9,"нет ставки"))</f>
        <v/>
      </c>
      <c r="P11" s="23" t="str">
        <f aca="false">IF($B11="","",IF(AND(ISNUMBER($M11),ISNUMBER($N11),ISNUMBER($O11)),$M11+$N11+$O11,"нет ставки"))</f>
        <v/>
      </c>
      <c r="Q11" s="23" t="str">
        <f aca="false">IF($B11="","",IF(AND(ISNUMBER($P11),ISNUMBER($D11)),IF($D11=0,"нет ставки",$P11/$D11),"нет ставки"))</f>
        <v/>
      </c>
    </row>
    <row r="12" customFormat="false" ht="15" hidden="false" customHeight="false" outlineLevel="0" collapsed="false">
      <c r="A12" s="15" t="n">
        <v>7</v>
      </c>
      <c r="B12" s="18"/>
      <c r="C12" s="15" t="str">
        <f aca="false">IF($B12="","",IFERROR(INDEX(Позиции!$D$5:$D$53,MATCH($B12,Позиции!$B$5:$B$53,0)),""))</f>
        <v/>
      </c>
      <c r="D12" s="21"/>
      <c r="E12" s="18" t="s">
        <v>207</v>
      </c>
      <c r="F12" s="22" t="str">
        <f aca="false">IF($B12="","",IFERROR(IF(INDEX(Позиции!$E$5:$E$53,MATCH($B12,Позиции!$B$5:$B$53,0))="","нет ставки",INDEX(Позиции!$E$5:$E$53,MATCH($B12,Позиции!$B$5:$B$53,0))),"нет ставки"))</f>
        <v/>
      </c>
      <c r="G12" s="23" t="str">
        <f aca="false">IF($B12="","",IF($E12="Meister",IF(ISBLANK(Ставки!$B$5),"нет ставки",Ставки!$B$5),IF(ISBLANK(Ставки!$B$4),"нет ставки",Ставки!$B$4)))</f>
        <v/>
      </c>
      <c r="H12" s="23" t="str">
        <f aca="false">IF($B12="","",IF(AND(ISNUMBER($D12),ISNUMBER($F12),ISNUMBER($G12)),$D12*$F12*$G12,"нет ставки"))</f>
        <v/>
      </c>
      <c r="I12" s="23" t="str">
        <f aca="false">IF($B12="","",IFERROR(IF(INDEX(Позиции!$F$5:$F$53,MATCH($B12,Позиции!$B$5:$B$53,0))="","нет ставки",INDEX(Позиции!$F$5:$F$53,MATCH($B12,Позиции!$B$5:$B$53,0))),"нет ставки"))</f>
        <v/>
      </c>
      <c r="J12" s="23" t="str">
        <f aca="false">IF($B12="","",IF(AND(ISNUMBER($D12),ISNUMBER($I12),NOT(ISBLANK(Ставки!$B$6))),$D12*$I12*(1+Ставки!$B$6),"нет ставки"))</f>
        <v/>
      </c>
      <c r="K12" s="23" t="str">
        <f aca="false">IF($B12="","",IF(AND(ISNUMBER($H12),ISNUMBER($J12)),$H12+$J12,"нет ставки"))</f>
        <v/>
      </c>
      <c r="L12" s="23" t="str">
        <f aca="false">IF($B12="","",IF(AND(ISNUMBER($K12),NOT(ISBLANK(Ставки!$B$7))),$K12*Ставки!$B$7,"нет ставки"))</f>
        <v/>
      </c>
      <c r="M12" s="23" t="str">
        <f aca="false">IF($B12="","",IF(AND(ISNUMBER($K12),ISNUMBER($L12)),$K12+$L12,"нет ставки"))</f>
        <v/>
      </c>
      <c r="N12" s="23" t="str">
        <f aca="false">IF($B12="","",IF(AND(ISNUMBER($M12),NOT(ISBLANK(Ставки!$B$8))),$M12*Ставки!$B$8,"нет ставки"))</f>
        <v/>
      </c>
      <c r="O12" s="23" t="str">
        <f aca="false">IF($B12="","",IF(AND(ISNUMBER($M12),NOT(ISBLANK(Ставки!$B$9))),$M12*Ставки!$B$9,"нет ставки"))</f>
        <v/>
      </c>
      <c r="P12" s="23" t="str">
        <f aca="false">IF($B12="","",IF(AND(ISNUMBER($M12),ISNUMBER($N12),ISNUMBER($O12)),$M12+$N12+$O12,"нет ставки"))</f>
        <v/>
      </c>
      <c r="Q12" s="23" t="str">
        <f aca="false">IF($B12="","",IF(AND(ISNUMBER($P12),ISNUMBER($D12)),IF($D12=0,"нет ставки",$P12/$D12),"нет ставки"))</f>
        <v/>
      </c>
    </row>
    <row r="13" customFormat="false" ht="15" hidden="false" customHeight="false" outlineLevel="0" collapsed="false">
      <c r="A13" s="15" t="n">
        <v>8</v>
      </c>
      <c r="B13" s="18"/>
      <c r="C13" s="15" t="str">
        <f aca="false">IF($B13="","",IFERROR(INDEX(Позиции!$D$5:$D$53,MATCH($B13,Позиции!$B$5:$B$53,0)),""))</f>
        <v/>
      </c>
      <c r="D13" s="21"/>
      <c r="E13" s="18" t="s">
        <v>207</v>
      </c>
      <c r="F13" s="22" t="str">
        <f aca="false">IF($B13="","",IFERROR(IF(INDEX(Позиции!$E$5:$E$53,MATCH($B13,Позиции!$B$5:$B$53,0))="","нет ставки",INDEX(Позиции!$E$5:$E$53,MATCH($B13,Позиции!$B$5:$B$53,0))),"нет ставки"))</f>
        <v/>
      </c>
      <c r="G13" s="23" t="str">
        <f aca="false">IF($B13="","",IF($E13="Meister",IF(ISBLANK(Ставки!$B$5),"нет ставки",Ставки!$B$5),IF(ISBLANK(Ставки!$B$4),"нет ставки",Ставки!$B$4)))</f>
        <v/>
      </c>
      <c r="H13" s="23" t="str">
        <f aca="false">IF($B13="","",IF(AND(ISNUMBER($D13),ISNUMBER($F13),ISNUMBER($G13)),$D13*$F13*$G13,"нет ставки"))</f>
        <v/>
      </c>
      <c r="I13" s="23" t="str">
        <f aca="false">IF($B13="","",IFERROR(IF(INDEX(Позиции!$F$5:$F$53,MATCH($B13,Позиции!$B$5:$B$53,0))="","нет ставки",INDEX(Позиции!$F$5:$F$53,MATCH($B13,Позиции!$B$5:$B$53,0))),"нет ставки"))</f>
        <v/>
      </c>
      <c r="J13" s="23" t="str">
        <f aca="false">IF($B13="","",IF(AND(ISNUMBER($D13),ISNUMBER($I13),NOT(ISBLANK(Ставки!$B$6))),$D13*$I13*(1+Ставки!$B$6),"нет ставки"))</f>
        <v/>
      </c>
      <c r="K13" s="23" t="str">
        <f aca="false">IF($B13="","",IF(AND(ISNUMBER($H13),ISNUMBER($J13)),$H13+$J13,"нет ставки"))</f>
        <v/>
      </c>
      <c r="L13" s="23" t="str">
        <f aca="false">IF($B13="","",IF(AND(ISNUMBER($K13),NOT(ISBLANK(Ставки!$B$7))),$K13*Ставки!$B$7,"нет ставки"))</f>
        <v/>
      </c>
      <c r="M13" s="23" t="str">
        <f aca="false">IF($B13="","",IF(AND(ISNUMBER($K13),ISNUMBER($L13)),$K13+$L13,"нет ставки"))</f>
        <v/>
      </c>
      <c r="N13" s="23" t="str">
        <f aca="false">IF($B13="","",IF(AND(ISNUMBER($M13),NOT(ISBLANK(Ставки!$B$8))),$M13*Ставки!$B$8,"нет ставки"))</f>
        <v/>
      </c>
      <c r="O13" s="23" t="str">
        <f aca="false">IF($B13="","",IF(AND(ISNUMBER($M13),NOT(ISBLANK(Ставки!$B$9))),$M13*Ставки!$B$9,"нет ставки"))</f>
        <v/>
      </c>
      <c r="P13" s="23" t="str">
        <f aca="false">IF($B13="","",IF(AND(ISNUMBER($M13),ISNUMBER($N13),ISNUMBER($O13)),$M13+$N13+$O13,"нет ставки"))</f>
        <v/>
      </c>
      <c r="Q13" s="23" t="str">
        <f aca="false">IF($B13="","",IF(AND(ISNUMBER($P13),ISNUMBER($D13)),IF($D13=0,"нет ставки",$P13/$D13),"нет ставки"))</f>
        <v/>
      </c>
    </row>
    <row r="14" customFormat="false" ht="15" hidden="false" customHeight="false" outlineLevel="0" collapsed="false">
      <c r="A14" s="15" t="n">
        <v>9</v>
      </c>
      <c r="B14" s="18"/>
      <c r="C14" s="15" t="str">
        <f aca="false">IF($B14="","",IFERROR(INDEX(Позиции!$D$5:$D$53,MATCH($B14,Позиции!$B$5:$B$53,0)),""))</f>
        <v/>
      </c>
      <c r="D14" s="21"/>
      <c r="E14" s="18" t="s">
        <v>207</v>
      </c>
      <c r="F14" s="22" t="str">
        <f aca="false">IF($B14="","",IFERROR(IF(INDEX(Позиции!$E$5:$E$53,MATCH($B14,Позиции!$B$5:$B$53,0))="","нет ставки",INDEX(Позиции!$E$5:$E$53,MATCH($B14,Позиции!$B$5:$B$53,0))),"нет ставки"))</f>
        <v/>
      </c>
      <c r="G14" s="23" t="str">
        <f aca="false">IF($B14="","",IF($E14="Meister",IF(ISBLANK(Ставки!$B$5),"нет ставки",Ставки!$B$5),IF(ISBLANK(Ставки!$B$4),"нет ставки",Ставки!$B$4)))</f>
        <v/>
      </c>
      <c r="H14" s="23" t="str">
        <f aca="false">IF($B14="","",IF(AND(ISNUMBER($D14),ISNUMBER($F14),ISNUMBER($G14)),$D14*$F14*$G14,"нет ставки"))</f>
        <v/>
      </c>
      <c r="I14" s="23" t="str">
        <f aca="false">IF($B14="","",IFERROR(IF(INDEX(Позиции!$F$5:$F$53,MATCH($B14,Позиции!$B$5:$B$53,0))="","нет ставки",INDEX(Позиции!$F$5:$F$53,MATCH($B14,Позиции!$B$5:$B$53,0))),"нет ставки"))</f>
        <v/>
      </c>
      <c r="J14" s="23" t="str">
        <f aca="false">IF($B14="","",IF(AND(ISNUMBER($D14),ISNUMBER($I14),NOT(ISBLANK(Ставки!$B$6))),$D14*$I14*(1+Ставки!$B$6),"нет ставки"))</f>
        <v/>
      </c>
      <c r="K14" s="23" t="str">
        <f aca="false">IF($B14="","",IF(AND(ISNUMBER($H14),ISNUMBER($J14)),$H14+$J14,"нет ставки"))</f>
        <v/>
      </c>
      <c r="L14" s="23" t="str">
        <f aca="false">IF($B14="","",IF(AND(ISNUMBER($K14),NOT(ISBLANK(Ставки!$B$7))),$K14*Ставки!$B$7,"нет ставки"))</f>
        <v/>
      </c>
      <c r="M14" s="23" t="str">
        <f aca="false">IF($B14="","",IF(AND(ISNUMBER($K14),ISNUMBER($L14)),$K14+$L14,"нет ставки"))</f>
        <v/>
      </c>
      <c r="N14" s="23" t="str">
        <f aca="false">IF($B14="","",IF(AND(ISNUMBER($M14),NOT(ISBLANK(Ставки!$B$8))),$M14*Ставки!$B$8,"нет ставки"))</f>
        <v/>
      </c>
      <c r="O14" s="23" t="str">
        <f aca="false">IF($B14="","",IF(AND(ISNUMBER($M14),NOT(ISBLANK(Ставки!$B$9))),$M14*Ставки!$B$9,"нет ставки"))</f>
        <v/>
      </c>
      <c r="P14" s="23" t="str">
        <f aca="false">IF($B14="","",IF(AND(ISNUMBER($M14),ISNUMBER($N14),ISNUMBER($O14)),$M14+$N14+$O14,"нет ставки"))</f>
        <v/>
      </c>
      <c r="Q14" s="23" t="str">
        <f aca="false">IF($B14="","",IF(AND(ISNUMBER($P14),ISNUMBER($D14)),IF($D14=0,"нет ставки",$P14/$D14),"нет ставки"))</f>
        <v/>
      </c>
    </row>
    <row r="15" customFormat="false" ht="15" hidden="false" customHeight="false" outlineLevel="0" collapsed="false">
      <c r="A15" s="15" t="n">
        <v>10</v>
      </c>
      <c r="B15" s="18"/>
      <c r="C15" s="15" t="str">
        <f aca="false">IF($B15="","",IFERROR(INDEX(Позиции!$D$5:$D$53,MATCH($B15,Позиции!$B$5:$B$53,0)),""))</f>
        <v/>
      </c>
      <c r="D15" s="21"/>
      <c r="E15" s="18" t="s">
        <v>207</v>
      </c>
      <c r="F15" s="22" t="str">
        <f aca="false">IF($B15="","",IFERROR(IF(INDEX(Позиции!$E$5:$E$53,MATCH($B15,Позиции!$B$5:$B$53,0))="","нет ставки",INDEX(Позиции!$E$5:$E$53,MATCH($B15,Позиции!$B$5:$B$53,0))),"нет ставки"))</f>
        <v/>
      </c>
      <c r="G15" s="23" t="str">
        <f aca="false">IF($B15="","",IF($E15="Meister",IF(ISBLANK(Ставки!$B$5),"нет ставки",Ставки!$B$5),IF(ISBLANK(Ставки!$B$4),"нет ставки",Ставки!$B$4)))</f>
        <v/>
      </c>
      <c r="H15" s="23" t="str">
        <f aca="false">IF($B15="","",IF(AND(ISNUMBER($D15),ISNUMBER($F15),ISNUMBER($G15)),$D15*$F15*$G15,"нет ставки"))</f>
        <v/>
      </c>
      <c r="I15" s="23" t="str">
        <f aca="false">IF($B15="","",IFERROR(IF(INDEX(Позиции!$F$5:$F$53,MATCH($B15,Позиции!$B$5:$B$53,0))="","нет ставки",INDEX(Позиции!$F$5:$F$53,MATCH($B15,Позиции!$B$5:$B$53,0))),"нет ставки"))</f>
        <v/>
      </c>
      <c r="J15" s="23" t="str">
        <f aca="false">IF($B15="","",IF(AND(ISNUMBER($D15),ISNUMBER($I15),NOT(ISBLANK(Ставки!$B$6))),$D15*$I15*(1+Ставки!$B$6),"нет ставки"))</f>
        <v/>
      </c>
      <c r="K15" s="23" t="str">
        <f aca="false">IF($B15="","",IF(AND(ISNUMBER($H15),ISNUMBER($J15)),$H15+$J15,"нет ставки"))</f>
        <v/>
      </c>
      <c r="L15" s="23" t="str">
        <f aca="false">IF($B15="","",IF(AND(ISNUMBER($K15),NOT(ISBLANK(Ставки!$B$7))),$K15*Ставки!$B$7,"нет ставки"))</f>
        <v/>
      </c>
      <c r="M15" s="23" t="str">
        <f aca="false">IF($B15="","",IF(AND(ISNUMBER($K15),ISNUMBER($L15)),$K15+$L15,"нет ставки"))</f>
        <v/>
      </c>
      <c r="N15" s="23" t="str">
        <f aca="false">IF($B15="","",IF(AND(ISNUMBER($M15),NOT(ISBLANK(Ставки!$B$8))),$M15*Ставки!$B$8,"нет ставки"))</f>
        <v/>
      </c>
      <c r="O15" s="23" t="str">
        <f aca="false">IF($B15="","",IF(AND(ISNUMBER($M15),NOT(ISBLANK(Ставки!$B$9))),$M15*Ставки!$B$9,"нет ставки"))</f>
        <v/>
      </c>
      <c r="P15" s="23" t="str">
        <f aca="false">IF($B15="","",IF(AND(ISNUMBER($M15),ISNUMBER($N15),ISNUMBER($O15)),$M15+$N15+$O15,"нет ставки"))</f>
        <v/>
      </c>
      <c r="Q15" s="23" t="str">
        <f aca="false">IF($B15="","",IF(AND(ISNUMBER($P15),ISNUMBER($D15)),IF($D15=0,"нет ставки",$P15/$D15),"нет ставки"))</f>
        <v/>
      </c>
    </row>
    <row r="16" customFormat="false" ht="15" hidden="false" customHeight="false" outlineLevel="0" collapsed="false">
      <c r="A16" s="15" t="n">
        <v>11</v>
      </c>
      <c r="B16" s="18"/>
      <c r="C16" s="15" t="str">
        <f aca="false">IF($B16="","",IFERROR(INDEX(Позиции!$D$5:$D$53,MATCH($B16,Позиции!$B$5:$B$53,0)),""))</f>
        <v/>
      </c>
      <c r="D16" s="21"/>
      <c r="E16" s="18" t="s">
        <v>207</v>
      </c>
      <c r="F16" s="22" t="str">
        <f aca="false">IF($B16="","",IFERROR(IF(INDEX(Позиции!$E$5:$E$53,MATCH($B16,Позиции!$B$5:$B$53,0))="","нет ставки",INDEX(Позиции!$E$5:$E$53,MATCH($B16,Позиции!$B$5:$B$53,0))),"нет ставки"))</f>
        <v/>
      </c>
      <c r="G16" s="23" t="str">
        <f aca="false">IF($B16="","",IF($E16="Meister",IF(ISBLANK(Ставки!$B$5),"нет ставки",Ставки!$B$5),IF(ISBLANK(Ставки!$B$4),"нет ставки",Ставки!$B$4)))</f>
        <v/>
      </c>
      <c r="H16" s="23" t="str">
        <f aca="false">IF($B16="","",IF(AND(ISNUMBER($D16),ISNUMBER($F16),ISNUMBER($G16)),$D16*$F16*$G16,"нет ставки"))</f>
        <v/>
      </c>
      <c r="I16" s="23" t="str">
        <f aca="false">IF($B16="","",IFERROR(IF(INDEX(Позиции!$F$5:$F$53,MATCH($B16,Позиции!$B$5:$B$53,0))="","нет ставки",INDEX(Позиции!$F$5:$F$53,MATCH($B16,Позиции!$B$5:$B$53,0))),"нет ставки"))</f>
        <v/>
      </c>
      <c r="J16" s="23" t="str">
        <f aca="false">IF($B16="","",IF(AND(ISNUMBER($D16),ISNUMBER($I16),NOT(ISBLANK(Ставки!$B$6))),$D16*$I16*(1+Ставки!$B$6),"нет ставки"))</f>
        <v/>
      </c>
      <c r="K16" s="23" t="str">
        <f aca="false">IF($B16="","",IF(AND(ISNUMBER($H16),ISNUMBER($J16)),$H16+$J16,"нет ставки"))</f>
        <v/>
      </c>
      <c r="L16" s="23" t="str">
        <f aca="false">IF($B16="","",IF(AND(ISNUMBER($K16),NOT(ISBLANK(Ставки!$B$7))),$K16*Ставки!$B$7,"нет ставки"))</f>
        <v/>
      </c>
      <c r="M16" s="23" t="str">
        <f aca="false">IF($B16="","",IF(AND(ISNUMBER($K16),ISNUMBER($L16)),$K16+$L16,"нет ставки"))</f>
        <v/>
      </c>
      <c r="N16" s="23" t="str">
        <f aca="false">IF($B16="","",IF(AND(ISNUMBER($M16),NOT(ISBLANK(Ставки!$B$8))),$M16*Ставки!$B$8,"нет ставки"))</f>
        <v/>
      </c>
      <c r="O16" s="23" t="str">
        <f aca="false">IF($B16="","",IF(AND(ISNUMBER($M16),NOT(ISBLANK(Ставки!$B$9))),$M16*Ставки!$B$9,"нет ставки"))</f>
        <v/>
      </c>
      <c r="P16" s="23" t="str">
        <f aca="false">IF($B16="","",IF(AND(ISNUMBER($M16),ISNUMBER($N16),ISNUMBER($O16)),$M16+$N16+$O16,"нет ставки"))</f>
        <v/>
      </c>
      <c r="Q16" s="23" t="str">
        <f aca="false">IF($B16="","",IF(AND(ISNUMBER($P16),ISNUMBER($D16)),IF($D16=0,"нет ставки",$P16/$D16),"нет ставки"))</f>
        <v/>
      </c>
    </row>
    <row r="17" customFormat="false" ht="15" hidden="false" customHeight="false" outlineLevel="0" collapsed="false">
      <c r="A17" s="15" t="n">
        <v>12</v>
      </c>
      <c r="B17" s="18"/>
      <c r="C17" s="15" t="str">
        <f aca="false">IF($B17="","",IFERROR(INDEX(Позиции!$D$5:$D$53,MATCH($B17,Позиции!$B$5:$B$53,0)),""))</f>
        <v/>
      </c>
      <c r="D17" s="21"/>
      <c r="E17" s="18" t="s">
        <v>207</v>
      </c>
      <c r="F17" s="22" t="str">
        <f aca="false">IF($B17="","",IFERROR(IF(INDEX(Позиции!$E$5:$E$53,MATCH($B17,Позиции!$B$5:$B$53,0))="","нет ставки",INDEX(Позиции!$E$5:$E$53,MATCH($B17,Позиции!$B$5:$B$53,0))),"нет ставки"))</f>
        <v/>
      </c>
      <c r="G17" s="23" t="str">
        <f aca="false">IF($B17="","",IF($E17="Meister",IF(ISBLANK(Ставки!$B$5),"нет ставки",Ставки!$B$5),IF(ISBLANK(Ставки!$B$4),"нет ставки",Ставки!$B$4)))</f>
        <v/>
      </c>
      <c r="H17" s="23" t="str">
        <f aca="false">IF($B17="","",IF(AND(ISNUMBER($D17),ISNUMBER($F17),ISNUMBER($G17)),$D17*$F17*$G17,"нет ставки"))</f>
        <v/>
      </c>
      <c r="I17" s="23" t="str">
        <f aca="false">IF($B17="","",IFERROR(IF(INDEX(Позиции!$F$5:$F$53,MATCH($B17,Позиции!$B$5:$B$53,0))="","нет ставки",INDEX(Позиции!$F$5:$F$53,MATCH($B17,Позиции!$B$5:$B$53,0))),"нет ставки"))</f>
        <v/>
      </c>
      <c r="J17" s="23" t="str">
        <f aca="false">IF($B17="","",IF(AND(ISNUMBER($D17),ISNUMBER($I17),NOT(ISBLANK(Ставки!$B$6))),$D17*$I17*(1+Ставки!$B$6),"нет ставки"))</f>
        <v/>
      </c>
      <c r="K17" s="23" t="str">
        <f aca="false">IF($B17="","",IF(AND(ISNUMBER($H17),ISNUMBER($J17)),$H17+$J17,"нет ставки"))</f>
        <v/>
      </c>
      <c r="L17" s="23" t="str">
        <f aca="false">IF($B17="","",IF(AND(ISNUMBER($K17),NOT(ISBLANK(Ставки!$B$7))),$K17*Ставки!$B$7,"нет ставки"))</f>
        <v/>
      </c>
      <c r="M17" s="23" t="str">
        <f aca="false">IF($B17="","",IF(AND(ISNUMBER($K17),ISNUMBER($L17)),$K17+$L17,"нет ставки"))</f>
        <v/>
      </c>
      <c r="N17" s="23" t="str">
        <f aca="false">IF($B17="","",IF(AND(ISNUMBER($M17),NOT(ISBLANK(Ставки!$B$8))),$M17*Ставки!$B$8,"нет ставки"))</f>
        <v/>
      </c>
      <c r="O17" s="23" t="str">
        <f aca="false">IF($B17="","",IF(AND(ISNUMBER($M17),NOT(ISBLANK(Ставки!$B$9))),$M17*Ставки!$B$9,"нет ставки"))</f>
        <v/>
      </c>
      <c r="P17" s="23" t="str">
        <f aca="false">IF($B17="","",IF(AND(ISNUMBER($M17),ISNUMBER($N17),ISNUMBER($O17)),$M17+$N17+$O17,"нет ставки"))</f>
        <v/>
      </c>
      <c r="Q17" s="23" t="str">
        <f aca="false">IF($B17="","",IF(AND(ISNUMBER($P17),ISNUMBER($D17)),IF($D17=0,"нет ставки",$P17/$D17),"нет ставки"))</f>
        <v/>
      </c>
    </row>
    <row r="18" customFormat="false" ht="15" hidden="false" customHeight="false" outlineLevel="0" collapsed="false">
      <c r="A18" s="15" t="n">
        <v>13</v>
      </c>
      <c r="B18" s="18"/>
      <c r="C18" s="15" t="str">
        <f aca="false">IF($B18="","",IFERROR(INDEX(Позиции!$D$5:$D$53,MATCH($B18,Позиции!$B$5:$B$53,0)),""))</f>
        <v/>
      </c>
      <c r="D18" s="21"/>
      <c r="E18" s="18" t="s">
        <v>207</v>
      </c>
      <c r="F18" s="22" t="str">
        <f aca="false">IF($B18="","",IFERROR(IF(INDEX(Позиции!$E$5:$E$53,MATCH($B18,Позиции!$B$5:$B$53,0))="","нет ставки",INDEX(Позиции!$E$5:$E$53,MATCH($B18,Позиции!$B$5:$B$53,0))),"нет ставки"))</f>
        <v/>
      </c>
      <c r="G18" s="23" t="str">
        <f aca="false">IF($B18="","",IF($E18="Meister",IF(ISBLANK(Ставки!$B$5),"нет ставки",Ставки!$B$5),IF(ISBLANK(Ставки!$B$4),"нет ставки",Ставки!$B$4)))</f>
        <v/>
      </c>
      <c r="H18" s="23" t="str">
        <f aca="false">IF($B18="","",IF(AND(ISNUMBER($D18),ISNUMBER($F18),ISNUMBER($G18)),$D18*$F18*$G18,"нет ставки"))</f>
        <v/>
      </c>
      <c r="I18" s="23" t="str">
        <f aca="false">IF($B18="","",IFERROR(IF(INDEX(Позиции!$F$5:$F$53,MATCH($B18,Позиции!$B$5:$B$53,0))="","нет ставки",INDEX(Позиции!$F$5:$F$53,MATCH($B18,Позиции!$B$5:$B$53,0))),"нет ставки"))</f>
        <v/>
      </c>
      <c r="J18" s="23" t="str">
        <f aca="false">IF($B18="","",IF(AND(ISNUMBER($D18),ISNUMBER($I18),NOT(ISBLANK(Ставки!$B$6))),$D18*$I18*(1+Ставки!$B$6),"нет ставки"))</f>
        <v/>
      </c>
      <c r="K18" s="23" t="str">
        <f aca="false">IF($B18="","",IF(AND(ISNUMBER($H18),ISNUMBER($J18)),$H18+$J18,"нет ставки"))</f>
        <v/>
      </c>
      <c r="L18" s="23" t="str">
        <f aca="false">IF($B18="","",IF(AND(ISNUMBER($K18),NOT(ISBLANK(Ставки!$B$7))),$K18*Ставки!$B$7,"нет ставки"))</f>
        <v/>
      </c>
      <c r="M18" s="23" t="str">
        <f aca="false">IF($B18="","",IF(AND(ISNUMBER($K18),ISNUMBER($L18)),$K18+$L18,"нет ставки"))</f>
        <v/>
      </c>
      <c r="N18" s="23" t="str">
        <f aca="false">IF($B18="","",IF(AND(ISNUMBER($M18),NOT(ISBLANK(Ставки!$B$8))),$M18*Ставки!$B$8,"нет ставки"))</f>
        <v/>
      </c>
      <c r="O18" s="23" t="str">
        <f aca="false">IF($B18="","",IF(AND(ISNUMBER($M18),NOT(ISBLANK(Ставки!$B$9))),$M18*Ставки!$B$9,"нет ставки"))</f>
        <v/>
      </c>
      <c r="P18" s="23" t="str">
        <f aca="false">IF($B18="","",IF(AND(ISNUMBER($M18),ISNUMBER($N18),ISNUMBER($O18)),$M18+$N18+$O18,"нет ставки"))</f>
        <v/>
      </c>
      <c r="Q18" s="23" t="str">
        <f aca="false">IF($B18="","",IF(AND(ISNUMBER($P18),ISNUMBER($D18)),IF($D18=0,"нет ставки",$P18/$D18),"нет ставки"))</f>
        <v/>
      </c>
    </row>
    <row r="19" customFormat="false" ht="15" hidden="false" customHeight="false" outlineLevel="0" collapsed="false">
      <c r="A19" s="15" t="n">
        <v>14</v>
      </c>
      <c r="B19" s="18"/>
      <c r="C19" s="15" t="str">
        <f aca="false">IF($B19="","",IFERROR(INDEX(Позиции!$D$5:$D$53,MATCH($B19,Позиции!$B$5:$B$53,0)),""))</f>
        <v/>
      </c>
      <c r="D19" s="21"/>
      <c r="E19" s="18" t="s">
        <v>207</v>
      </c>
      <c r="F19" s="22" t="str">
        <f aca="false">IF($B19="","",IFERROR(IF(INDEX(Позиции!$E$5:$E$53,MATCH($B19,Позиции!$B$5:$B$53,0))="","нет ставки",INDEX(Позиции!$E$5:$E$53,MATCH($B19,Позиции!$B$5:$B$53,0))),"нет ставки"))</f>
        <v/>
      </c>
      <c r="G19" s="23" t="str">
        <f aca="false">IF($B19="","",IF($E19="Meister",IF(ISBLANK(Ставки!$B$5),"нет ставки",Ставки!$B$5),IF(ISBLANK(Ставки!$B$4),"нет ставки",Ставки!$B$4)))</f>
        <v/>
      </c>
      <c r="H19" s="23" t="str">
        <f aca="false">IF($B19="","",IF(AND(ISNUMBER($D19),ISNUMBER($F19),ISNUMBER($G19)),$D19*$F19*$G19,"нет ставки"))</f>
        <v/>
      </c>
      <c r="I19" s="23" t="str">
        <f aca="false">IF($B19="","",IFERROR(IF(INDEX(Позиции!$F$5:$F$53,MATCH($B19,Позиции!$B$5:$B$53,0))="","нет ставки",INDEX(Позиции!$F$5:$F$53,MATCH($B19,Позиции!$B$5:$B$53,0))),"нет ставки"))</f>
        <v/>
      </c>
      <c r="J19" s="23" t="str">
        <f aca="false">IF($B19="","",IF(AND(ISNUMBER($D19),ISNUMBER($I19),NOT(ISBLANK(Ставки!$B$6))),$D19*$I19*(1+Ставки!$B$6),"нет ставки"))</f>
        <v/>
      </c>
      <c r="K19" s="23" t="str">
        <f aca="false">IF($B19="","",IF(AND(ISNUMBER($H19),ISNUMBER($J19)),$H19+$J19,"нет ставки"))</f>
        <v/>
      </c>
      <c r="L19" s="23" t="str">
        <f aca="false">IF($B19="","",IF(AND(ISNUMBER($K19),NOT(ISBLANK(Ставки!$B$7))),$K19*Ставки!$B$7,"нет ставки"))</f>
        <v/>
      </c>
      <c r="M19" s="23" t="str">
        <f aca="false">IF($B19="","",IF(AND(ISNUMBER($K19),ISNUMBER($L19)),$K19+$L19,"нет ставки"))</f>
        <v/>
      </c>
      <c r="N19" s="23" t="str">
        <f aca="false">IF($B19="","",IF(AND(ISNUMBER($M19),NOT(ISBLANK(Ставки!$B$8))),$M19*Ставки!$B$8,"нет ставки"))</f>
        <v/>
      </c>
      <c r="O19" s="23" t="str">
        <f aca="false">IF($B19="","",IF(AND(ISNUMBER($M19),NOT(ISBLANK(Ставки!$B$9))),$M19*Ставки!$B$9,"нет ставки"))</f>
        <v/>
      </c>
      <c r="P19" s="23" t="str">
        <f aca="false">IF($B19="","",IF(AND(ISNUMBER($M19),ISNUMBER($N19),ISNUMBER($O19)),$M19+$N19+$O19,"нет ставки"))</f>
        <v/>
      </c>
      <c r="Q19" s="23" t="str">
        <f aca="false">IF($B19="","",IF(AND(ISNUMBER($P19),ISNUMBER($D19)),IF($D19=0,"нет ставки",$P19/$D19),"нет ставки"))</f>
        <v/>
      </c>
    </row>
    <row r="20" customFormat="false" ht="15" hidden="false" customHeight="false" outlineLevel="0" collapsed="false">
      <c r="A20" s="15" t="n">
        <v>15</v>
      </c>
      <c r="B20" s="18"/>
      <c r="C20" s="15" t="str">
        <f aca="false">IF($B20="","",IFERROR(INDEX(Позиции!$D$5:$D$53,MATCH($B20,Позиции!$B$5:$B$53,0)),""))</f>
        <v/>
      </c>
      <c r="D20" s="21"/>
      <c r="E20" s="18" t="s">
        <v>207</v>
      </c>
      <c r="F20" s="22" t="str">
        <f aca="false">IF($B20="","",IFERROR(IF(INDEX(Позиции!$E$5:$E$53,MATCH($B20,Позиции!$B$5:$B$53,0))="","нет ставки",INDEX(Позиции!$E$5:$E$53,MATCH($B20,Позиции!$B$5:$B$53,0))),"нет ставки"))</f>
        <v/>
      </c>
      <c r="G20" s="23" t="str">
        <f aca="false">IF($B20="","",IF($E20="Meister",IF(ISBLANK(Ставки!$B$5),"нет ставки",Ставки!$B$5),IF(ISBLANK(Ставки!$B$4),"нет ставки",Ставки!$B$4)))</f>
        <v/>
      </c>
      <c r="H20" s="23" t="str">
        <f aca="false">IF($B20="","",IF(AND(ISNUMBER($D20),ISNUMBER($F20),ISNUMBER($G20)),$D20*$F20*$G20,"нет ставки"))</f>
        <v/>
      </c>
      <c r="I20" s="23" t="str">
        <f aca="false">IF($B20="","",IFERROR(IF(INDEX(Позиции!$F$5:$F$53,MATCH($B20,Позиции!$B$5:$B$53,0))="","нет ставки",INDEX(Позиции!$F$5:$F$53,MATCH($B20,Позиции!$B$5:$B$53,0))),"нет ставки"))</f>
        <v/>
      </c>
      <c r="J20" s="23" t="str">
        <f aca="false">IF($B20="","",IF(AND(ISNUMBER($D20),ISNUMBER($I20),NOT(ISBLANK(Ставки!$B$6))),$D20*$I20*(1+Ставки!$B$6),"нет ставки"))</f>
        <v/>
      </c>
      <c r="K20" s="23" t="str">
        <f aca="false">IF($B20="","",IF(AND(ISNUMBER($H20),ISNUMBER($J20)),$H20+$J20,"нет ставки"))</f>
        <v/>
      </c>
      <c r="L20" s="23" t="str">
        <f aca="false">IF($B20="","",IF(AND(ISNUMBER($K20),NOT(ISBLANK(Ставки!$B$7))),$K20*Ставки!$B$7,"нет ставки"))</f>
        <v/>
      </c>
      <c r="M20" s="23" t="str">
        <f aca="false">IF($B20="","",IF(AND(ISNUMBER($K20),ISNUMBER($L20)),$K20+$L20,"нет ставки"))</f>
        <v/>
      </c>
      <c r="N20" s="23" t="str">
        <f aca="false">IF($B20="","",IF(AND(ISNUMBER($M20),NOT(ISBLANK(Ставки!$B$8))),$M20*Ставки!$B$8,"нет ставки"))</f>
        <v/>
      </c>
      <c r="O20" s="23" t="str">
        <f aca="false">IF($B20="","",IF(AND(ISNUMBER($M20),NOT(ISBLANK(Ставки!$B$9))),$M20*Ставки!$B$9,"нет ставки"))</f>
        <v/>
      </c>
      <c r="P20" s="23" t="str">
        <f aca="false">IF($B20="","",IF(AND(ISNUMBER($M20),ISNUMBER($N20),ISNUMBER($O20)),$M20+$N20+$O20,"нет ставки"))</f>
        <v/>
      </c>
      <c r="Q20" s="23" t="str">
        <f aca="false">IF($B20="","",IF(AND(ISNUMBER($P20),ISNUMBER($D20)),IF($D20=0,"нет ставки",$P20/$D20),"нет ставки"))</f>
        <v/>
      </c>
    </row>
    <row r="21" customFormat="false" ht="15" hidden="false" customHeight="false" outlineLevel="0" collapsed="false">
      <c r="A21" s="15" t="n">
        <v>16</v>
      </c>
      <c r="B21" s="18"/>
      <c r="C21" s="15" t="str">
        <f aca="false">IF($B21="","",IFERROR(INDEX(Позиции!$D$5:$D$53,MATCH($B21,Позиции!$B$5:$B$53,0)),""))</f>
        <v/>
      </c>
      <c r="D21" s="21"/>
      <c r="E21" s="18" t="s">
        <v>207</v>
      </c>
      <c r="F21" s="22" t="str">
        <f aca="false">IF($B21="","",IFERROR(IF(INDEX(Позиции!$E$5:$E$53,MATCH($B21,Позиции!$B$5:$B$53,0))="","нет ставки",INDEX(Позиции!$E$5:$E$53,MATCH($B21,Позиции!$B$5:$B$53,0))),"нет ставки"))</f>
        <v/>
      </c>
      <c r="G21" s="23" t="str">
        <f aca="false">IF($B21="","",IF($E21="Meister",IF(ISBLANK(Ставки!$B$5),"нет ставки",Ставки!$B$5),IF(ISBLANK(Ставки!$B$4),"нет ставки",Ставки!$B$4)))</f>
        <v/>
      </c>
      <c r="H21" s="23" t="str">
        <f aca="false">IF($B21="","",IF(AND(ISNUMBER($D21),ISNUMBER($F21),ISNUMBER($G21)),$D21*$F21*$G21,"нет ставки"))</f>
        <v/>
      </c>
      <c r="I21" s="23" t="str">
        <f aca="false">IF($B21="","",IFERROR(IF(INDEX(Позиции!$F$5:$F$53,MATCH($B21,Позиции!$B$5:$B$53,0))="","нет ставки",INDEX(Позиции!$F$5:$F$53,MATCH($B21,Позиции!$B$5:$B$53,0))),"нет ставки"))</f>
        <v/>
      </c>
      <c r="J21" s="23" t="str">
        <f aca="false">IF($B21="","",IF(AND(ISNUMBER($D21),ISNUMBER($I21),NOT(ISBLANK(Ставки!$B$6))),$D21*$I21*(1+Ставки!$B$6),"нет ставки"))</f>
        <v/>
      </c>
      <c r="K21" s="23" t="str">
        <f aca="false">IF($B21="","",IF(AND(ISNUMBER($H21),ISNUMBER($J21)),$H21+$J21,"нет ставки"))</f>
        <v/>
      </c>
      <c r="L21" s="23" t="str">
        <f aca="false">IF($B21="","",IF(AND(ISNUMBER($K21),NOT(ISBLANK(Ставки!$B$7))),$K21*Ставки!$B$7,"нет ставки"))</f>
        <v/>
      </c>
      <c r="M21" s="23" t="str">
        <f aca="false">IF($B21="","",IF(AND(ISNUMBER($K21),ISNUMBER($L21)),$K21+$L21,"нет ставки"))</f>
        <v/>
      </c>
      <c r="N21" s="23" t="str">
        <f aca="false">IF($B21="","",IF(AND(ISNUMBER($M21),NOT(ISBLANK(Ставки!$B$8))),$M21*Ставки!$B$8,"нет ставки"))</f>
        <v/>
      </c>
      <c r="O21" s="23" t="str">
        <f aca="false">IF($B21="","",IF(AND(ISNUMBER($M21),NOT(ISBLANK(Ставки!$B$9))),$M21*Ставки!$B$9,"нет ставки"))</f>
        <v/>
      </c>
      <c r="P21" s="23" t="str">
        <f aca="false">IF($B21="","",IF(AND(ISNUMBER($M21),ISNUMBER($N21),ISNUMBER($O21)),$M21+$N21+$O21,"нет ставки"))</f>
        <v/>
      </c>
      <c r="Q21" s="23" t="str">
        <f aca="false">IF($B21="","",IF(AND(ISNUMBER($P21),ISNUMBER($D21)),IF($D21=0,"нет ставки",$P21/$D21),"нет ставки"))</f>
        <v/>
      </c>
    </row>
    <row r="22" customFormat="false" ht="15" hidden="false" customHeight="false" outlineLevel="0" collapsed="false">
      <c r="A22" s="15" t="n">
        <v>17</v>
      </c>
      <c r="B22" s="18"/>
      <c r="C22" s="15" t="str">
        <f aca="false">IF($B22="","",IFERROR(INDEX(Позиции!$D$5:$D$53,MATCH($B22,Позиции!$B$5:$B$53,0)),""))</f>
        <v/>
      </c>
      <c r="D22" s="21"/>
      <c r="E22" s="18" t="s">
        <v>207</v>
      </c>
      <c r="F22" s="22" t="str">
        <f aca="false">IF($B22="","",IFERROR(IF(INDEX(Позиции!$E$5:$E$53,MATCH($B22,Позиции!$B$5:$B$53,0))="","нет ставки",INDEX(Позиции!$E$5:$E$53,MATCH($B22,Позиции!$B$5:$B$53,0))),"нет ставки"))</f>
        <v/>
      </c>
      <c r="G22" s="23" t="str">
        <f aca="false">IF($B22="","",IF($E22="Meister",IF(ISBLANK(Ставки!$B$5),"нет ставки",Ставки!$B$5),IF(ISBLANK(Ставки!$B$4),"нет ставки",Ставки!$B$4)))</f>
        <v/>
      </c>
      <c r="H22" s="23" t="str">
        <f aca="false">IF($B22="","",IF(AND(ISNUMBER($D22),ISNUMBER($F22),ISNUMBER($G22)),$D22*$F22*$G22,"нет ставки"))</f>
        <v/>
      </c>
      <c r="I22" s="23" t="str">
        <f aca="false">IF($B22="","",IFERROR(IF(INDEX(Позиции!$F$5:$F$53,MATCH($B22,Позиции!$B$5:$B$53,0))="","нет ставки",INDEX(Позиции!$F$5:$F$53,MATCH($B22,Позиции!$B$5:$B$53,0))),"нет ставки"))</f>
        <v/>
      </c>
      <c r="J22" s="23" t="str">
        <f aca="false">IF($B22="","",IF(AND(ISNUMBER($D22),ISNUMBER($I22),NOT(ISBLANK(Ставки!$B$6))),$D22*$I22*(1+Ставки!$B$6),"нет ставки"))</f>
        <v/>
      </c>
      <c r="K22" s="23" t="str">
        <f aca="false">IF($B22="","",IF(AND(ISNUMBER($H22),ISNUMBER($J22)),$H22+$J22,"нет ставки"))</f>
        <v/>
      </c>
      <c r="L22" s="23" t="str">
        <f aca="false">IF($B22="","",IF(AND(ISNUMBER($K22),NOT(ISBLANK(Ставки!$B$7))),$K22*Ставки!$B$7,"нет ставки"))</f>
        <v/>
      </c>
      <c r="M22" s="23" t="str">
        <f aca="false">IF($B22="","",IF(AND(ISNUMBER($K22),ISNUMBER($L22)),$K22+$L22,"нет ставки"))</f>
        <v/>
      </c>
      <c r="N22" s="23" t="str">
        <f aca="false">IF($B22="","",IF(AND(ISNUMBER($M22),NOT(ISBLANK(Ставки!$B$8))),$M22*Ставки!$B$8,"нет ставки"))</f>
        <v/>
      </c>
      <c r="O22" s="23" t="str">
        <f aca="false">IF($B22="","",IF(AND(ISNUMBER($M22),NOT(ISBLANK(Ставки!$B$9))),$M22*Ставки!$B$9,"нет ставки"))</f>
        <v/>
      </c>
      <c r="P22" s="23" t="str">
        <f aca="false">IF($B22="","",IF(AND(ISNUMBER($M22),ISNUMBER($N22),ISNUMBER($O22)),$M22+$N22+$O22,"нет ставки"))</f>
        <v/>
      </c>
      <c r="Q22" s="23" t="str">
        <f aca="false">IF($B22="","",IF(AND(ISNUMBER($P22),ISNUMBER($D22)),IF($D22=0,"нет ставки",$P22/$D22),"нет ставки"))</f>
        <v/>
      </c>
    </row>
    <row r="23" customFormat="false" ht="15" hidden="false" customHeight="false" outlineLevel="0" collapsed="false">
      <c r="A23" s="15" t="n">
        <v>18</v>
      </c>
      <c r="B23" s="18"/>
      <c r="C23" s="15" t="str">
        <f aca="false">IF($B23="","",IFERROR(INDEX(Позиции!$D$5:$D$53,MATCH($B23,Позиции!$B$5:$B$53,0)),""))</f>
        <v/>
      </c>
      <c r="D23" s="21"/>
      <c r="E23" s="18" t="s">
        <v>207</v>
      </c>
      <c r="F23" s="22" t="str">
        <f aca="false">IF($B23="","",IFERROR(IF(INDEX(Позиции!$E$5:$E$53,MATCH($B23,Позиции!$B$5:$B$53,0))="","нет ставки",INDEX(Позиции!$E$5:$E$53,MATCH($B23,Позиции!$B$5:$B$53,0))),"нет ставки"))</f>
        <v/>
      </c>
      <c r="G23" s="23" t="str">
        <f aca="false">IF($B23="","",IF($E23="Meister",IF(ISBLANK(Ставки!$B$5),"нет ставки",Ставки!$B$5),IF(ISBLANK(Ставки!$B$4),"нет ставки",Ставки!$B$4)))</f>
        <v/>
      </c>
      <c r="H23" s="23" t="str">
        <f aca="false">IF($B23="","",IF(AND(ISNUMBER($D23),ISNUMBER($F23),ISNUMBER($G23)),$D23*$F23*$G23,"нет ставки"))</f>
        <v/>
      </c>
      <c r="I23" s="23" t="str">
        <f aca="false">IF($B23="","",IFERROR(IF(INDEX(Позиции!$F$5:$F$53,MATCH($B23,Позиции!$B$5:$B$53,0))="","нет ставки",INDEX(Позиции!$F$5:$F$53,MATCH($B23,Позиции!$B$5:$B$53,0))),"нет ставки"))</f>
        <v/>
      </c>
      <c r="J23" s="23" t="str">
        <f aca="false">IF($B23="","",IF(AND(ISNUMBER($D23),ISNUMBER($I23),NOT(ISBLANK(Ставки!$B$6))),$D23*$I23*(1+Ставки!$B$6),"нет ставки"))</f>
        <v/>
      </c>
      <c r="K23" s="23" t="str">
        <f aca="false">IF($B23="","",IF(AND(ISNUMBER($H23),ISNUMBER($J23)),$H23+$J23,"нет ставки"))</f>
        <v/>
      </c>
      <c r="L23" s="23" t="str">
        <f aca="false">IF($B23="","",IF(AND(ISNUMBER($K23),NOT(ISBLANK(Ставки!$B$7))),$K23*Ставки!$B$7,"нет ставки"))</f>
        <v/>
      </c>
      <c r="M23" s="23" t="str">
        <f aca="false">IF($B23="","",IF(AND(ISNUMBER($K23),ISNUMBER($L23)),$K23+$L23,"нет ставки"))</f>
        <v/>
      </c>
      <c r="N23" s="23" t="str">
        <f aca="false">IF($B23="","",IF(AND(ISNUMBER($M23),NOT(ISBLANK(Ставки!$B$8))),$M23*Ставки!$B$8,"нет ставки"))</f>
        <v/>
      </c>
      <c r="O23" s="23" t="str">
        <f aca="false">IF($B23="","",IF(AND(ISNUMBER($M23),NOT(ISBLANK(Ставки!$B$9))),$M23*Ставки!$B$9,"нет ставки"))</f>
        <v/>
      </c>
      <c r="P23" s="23" t="str">
        <f aca="false">IF($B23="","",IF(AND(ISNUMBER($M23),ISNUMBER($N23),ISNUMBER($O23)),$M23+$N23+$O23,"нет ставки"))</f>
        <v/>
      </c>
      <c r="Q23" s="23" t="str">
        <f aca="false">IF($B23="","",IF(AND(ISNUMBER($P23),ISNUMBER($D23)),IF($D23=0,"нет ставки",$P23/$D23),"нет ставки"))</f>
        <v/>
      </c>
    </row>
    <row r="24" customFormat="false" ht="15" hidden="false" customHeight="false" outlineLevel="0" collapsed="false">
      <c r="A24" s="15" t="n">
        <v>19</v>
      </c>
      <c r="B24" s="18"/>
      <c r="C24" s="15" t="str">
        <f aca="false">IF($B24="","",IFERROR(INDEX(Позиции!$D$5:$D$53,MATCH($B24,Позиции!$B$5:$B$53,0)),""))</f>
        <v/>
      </c>
      <c r="D24" s="21"/>
      <c r="E24" s="18" t="s">
        <v>207</v>
      </c>
      <c r="F24" s="22" t="str">
        <f aca="false">IF($B24="","",IFERROR(IF(INDEX(Позиции!$E$5:$E$53,MATCH($B24,Позиции!$B$5:$B$53,0))="","нет ставки",INDEX(Позиции!$E$5:$E$53,MATCH($B24,Позиции!$B$5:$B$53,0))),"нет ставки"))</f>
        <v/>
      </c>
      <c r="G24" s="23" t="str">
        <f aca="false">IF($B24="","",IF($E24="Meister",IF(ISBLANK(Ставки!$B$5),"нет ставки",Ставки!$B$5),IF(ISBLANK(Ставки!$B$4),"нет ставки",Ставки!$B$4)))</f>
        <v/>
      </c>
      <c r="H24" s="23" t="str">
        <f aca="false">IF($B24="","",IF(AND(ISNUMBER($D24),ISNUMBER($F24),ISNUMBER($G24)),$D24*$F24*$G24,"нет ставки"))</f>
        <v/>
      </c>
      <c r="I24" s="23" t="str">
        <f aca="false">IF($B24="","",IFERROR(IF(INDEX(Позиции!$F$5:$F$53,MATCH($B24,Позиции!$B$5:$B$53,0))="","нет ставки",INDEX(Позиции!$F$5:$F$53,MATCH($B24,Позиции!$B$5:$B$53,0))),"нет ставки"))</f>
        <v/>
      </c>
      <c r="J24" s="23" t="str">
        <f aca="false">IF($B24="","",IF(AND(ISNUMBER($D24),ISNUMBER($I24),NOT(ISBLANK(Ставки!$B$6))),$D24*$I24*(1+Ставки!$B$6),"нет ставки"))</f>
        <v/>
      </c>
      <c r="K24" s="23" t="str">
        <f aca="false">IF($B24="","",IF(AND(ISNUMBER($H24),ISNUMBER($J24)),$H24+$J24,"нет ставки"))</f>
        <v/>
      </c>
      <c r="L24" s="23" t="str">
        <f aca="false">IF($B24="","",IF(AND(ISNUMBER($K24),NOT(ISBLANK(Ставки!$B$7))),$K24*Ставки!$B$7,"нет ставки"))</f>
        <v/>
      </c>
      <c r="M24" s="23" t="str">
        <f aca="false">IF($B24="","",IF(AND(ISNUMBER($K24),ISNUMBER($L24)),$K24+$L24,"нет ставки"))</f>
        <v/>
      </c>
      <c r="N24" s="23" t="str">
        <f aca="false">IF($B24="","",IF(AND(ISNUMBER($M24),NOT(ISBLANK(Ставки!$B$8))),$M24*Ставки!$B$8,"нет ставки"))</f>
        <v/>
      </c>
      <c r="O24" s="23" t="str">
        <f aca="false">IF($B24="","",IF(AND(ISNUMBER($M24),NOT(ISBLANK(Ставки!$B$9))),$M24*Ставки!$B$9,"нет ставки"))</f>
        <v/>
      </c>
      <c r="P24" s="23" t="str">
        <f aca="false">IF($B24="","",IF(AND(ISNUMBER($M24),ISNUMBER($N24),ISNUMBER($O24)),$M24+$N24+$O24,"нет ставки"))</f>
        <v/>
      </c>
      <c r="Q24" s="23" t="str">
        <f aca="false">IF($B24="","",IF(AND(ISNUMBER($P24),ISNUMBER($D24)),IF($D24=0,"нет ставки",$P24/$D24),"нет ставки"))</f>
        <v/>
      </c>
    </row>
    <row r="25" customFormat="false" ht="15" hidden="false" customHeight="false" outlineLevel="0" collapsed="false">
      <c r="A25" s="15" t="n">
        <v>20</v>
      </c>
      <c r="B25" s="18"/>
      <c r="C25" s="15" t="str">
        <f aca="false">IF($B25="","",IFERROR(INDEX(Позиции!$D$5:$D$53,MATCH($B25,Позиции!$B$5:$B$53,0)),""))</f>
        <v/>
      </c>
      <c r="D25" s="21"/>
      <c r="E25" s="18" t="s">
        <v>207</v>
      </c>
      <c r="F25" s="22" t="str">
        <f aca="false">IF($B25="","",IFERROR(IF(INDEX(Позиции!$E$5:$E$53,MATCH($B25,Позиции!$B$5:$B$53,0))="","нет ставки",INDEX(Позиции!$E$5:$E$53,MATCH($B25,Позиции!$B$5:$B$53,0))),"нет ставки"))</f>
        <v/>
      </c>
      <c r="G25" s="23" t="str">
        <f aca="false">IF($B25="","",IF($E25="Meister",IF(ISBLANK(Ставки!$B$5),"нет ставки",Ставки!$B$5),IF(ISBLANK(Ставки!$B$4),"нет ставки",Ставки!$B$4)))</f>
        <v/>
      </c>
      <c r="H25" s="23" t="str">
        <f aca="false">IF($B25="","",IF(AND(ISNUMBER($D25),ISNUMBER($F25),ISNUMBER($G25)),$D25*$F25*$G25,"нет ставки"))</f>
        <v/>
      </c>
      <c r="I25" s="23" t="str">
        <f aca="false">IF($B25="","",IFERROR(IF(INDEX(Позиции!$F$5:$F$53,MATCH($B25,Позиции!$B$5:$B$53,0))="","нет ставки",INDEX(Позиции!$F$5:$F$53,MATCH($B25,Позиции!$B$5:$B$53,0))),"нет ставки"))</f>
        <v/>
      </c>
      <c r="J25" s="23" t="str">
        <f aca="false">IF($B25="","",IF(AND(ISNUMBER($D25),ISNUMBER($I25),NOT(ISBLANK(Ставки!$B$6))),$D25*$I25*(1+Ставки!$B$6),"нет ставки"))</f>
        <v/>
      </c>
      <c r="K25" s="23" t="str">
        <f aca="false">IF($B25="","",IF(AND(ISNUMBER($H25),ISNUMBER($J25)),$H25+$J25,"нет ставки"))</f>
        <v/>
      </c>
      <c r="L25" s="23" t="str">
        <f aca="false">IF($B25="","",IF(AND(ISNUMBER($K25),NOT(ISBLANK(Ставки!$B$7))),$K25*Ставки!$B$7,"нет ставки"))</f>
        <v/>
      </c>
      <c r="M25" s="23" t="str">
        <f aca="false">IF($B25="","",IF(AND(ISNUMBER($K25),ISNUMBER($L25)),$K25+$L25,"нет ставки"))</f>
        <v/>
      </c>
      <c r="N25" s="23" t="str">
        <f aca="false">IF($B25="","",IF(AND(ISNUMBER($M25),NOT(ISBLANK(Ставки!$B$8))),$M25*Ставки!$B$8,"нет ставки"))</f>
        <v/>
      </c>
      <c r="O25" s="23" t="str">
        <f aca="false">IF($B25="","",IF(AND(ISNUMBER($M25),NOT(ISBLANK(Ставки!$B$9))),$M25*Ставки!$B$9,"нет ставки"))</f>
        <v/>
      </c>
      <c r="P25" s="23" t="str">
        <f aca="false">IF($B25="","",IF(AND(ISNUMBER($M25),ISNUMBER($N25),ISNUMBER($O25)),$M25+$N25+$O25,"нет ставки"))</f>
        <v/>
      </c>
      <c r="Q25" s="23" t="str">
        <f aca="false">IF($B25="","",IF(AND(ISNUMBER($P25),ISNUMBER($D25)),IF($D25=0,"нет ставки",$P25/$D25),"нет ставки"))</f>
        <v/>
      </c>
    </row>
    <row r="26" customFormat="false" ht="15" hidden="false" customHeight="false" outlineLevel="0" collapsed="false">
      <c r="A26" s="15" t="n">
        <v>21</v>
      </c>
      <c r="B26" s="18"/>
      <c r="C26" s="15" t="str">
        <f aca="false">IF($B26="","",IFERROR(INDEX(Позиции!$D$5:$D$53,MATCH($B26,Позиции!$B$5:$B$53,0)),""))</f>
        <v/>
      </c>
      <c r="D26" s="21"/>
      <c r="E26" s="18" t="s">
        <v>207</v>
      </c>
      <c r="F26" s="22" t="str">
        <f aca="false">IF($B26="","",IFERROR(IF(INDEX(Позиции!$E$5:$E$53,MATCH($B26,Позиции!$B$5:$B$53,0))="","нет ставки",INDEX(Позиции!$E$5:$E$53,MATCH($B26,Позиции!$B$5:$B$53,0))),"нет ставки"))</f>
        <v/>
      </c>
      <c r="G26" s="23" t="str">
        <f aca="false">IF($B26="","",IF($E26="Meister",IF(ISBLANK(Ставки!$B$5),"нет ставки",Ставки!$B$5),IF(ISBLANK(Ставки!$B$4),"нет ставки",Ставки!$B$4)))</f>
        <v/>
      </c>
      <c r="H26" s="23" t="str">
        <f aca="false">IF($B26="","",IF(AND(ISNUMBER($D26),ISNUMBER($F26),ISNUMBER($G26)),$D26*$F26*$G26,"нет ставки"))</f>
        <v/>
      </c>
      <c r="I26" s="23" t="str">
        <f aca="false">IF($B26="","",IFERROR(IF(INDEX(Позиции!$F$5:$F$53,MATCH($B26,Позиции!$B$5:$B$53,0))="","нет ставки",INDEX(Позиции!$F$5:$F$53,MATCH($B26,Позиции!$B$5:$B$53,0))),"нет ставки"))</f>
        <v/>
      </c>
      <c r="J26" s="23" t="str">
        <f aca="false">IF($B26="","",IF(AND(ISNUMBER($D26),ISNUMBER($I26),NOT(ISBLANK(Ставки!$B$6))),$D26*$I26*(1+Ставки!$B$6),"нет ставки"))</f>
        <v/>
      </c>
      <c r="K26" s="23" t="str">
        <f aca="false">IF($B26="","",IF(AND(ISNUMBER($H26),ISNUMBER($J26)),$H26+$J26,"нет ставки"))</f>
        <v/>
      </c>
      <c r="L26" s="23" t="str">
        <f aca="false">IF($B26="","",IF(AND(ISNUMBER($K26),NOT(ISBLANK(Ставки!$B$7))),$K26*Ставки!$B$7,"нет ставки"))</f>
        <v/>
      </c>
      <c r="M26" s="23" t="str">
        <f aca="false">IF($B26="","",IF(AND(ISNUMBER($K26),ISNUMBER($L26)),$K26+$L26,"нет ставки"))</f>
        <v/>
      </c>
      <c r="N26" s="23" t="str">
        <f aca="false">IF($B26="","",IF(AND(ISNUMBER($M26),NOT(ISBLANK(Ставки!$B$8))),$M26*Ставки!$B$8,"нет ставки"))</f>
        <v/>
      </c>
      <c r="O26" s="23" t="str">
        <f aca="false">IF($B26="","",IF(AND(ISNUMBER($M26),NOT(ISBLANK(Ставки!$B$9))),$M26*Ставки!$B$9,"нет ставки"))</f>
        <v/>
      </c>
      <c r="P26" s="23" t="str">
        <f aca="false">IF($B26="","",IF(AND(ISNUMBER($M26),ISNUMBER($N26),ISNUMBER($O26)),$M26+$N26+$O26,"нет ставки"))</f>
        <v/>
      </c>
      <c r="Q26" s="23" t="str">
        <f aca="false">IF($B26="","",IF(AND(ISNUMBER($P26),ISNUMBER($D26)),IF($D26=0,"нет ставки",$P26/$D26),"нет ставки"))</f>
        <v/>
      </c>
    </row>
    <row r="27" customFormat="false" ht="15" hidden="false" customHeight="false" outlineLevel="0" collapsed="false">
      <c r="A27" s="15" t="n">
        <v>22</v>
      </c>
      <c r="B27" s="18"/>
      <c r="C27" s="15" t="str">
        <f aca="false">IF($B27="","",IFERROR(INDEX(Позиции!$D$5:$D$53,MATCH($B27,Позиции!$B$5:$B$53,0)),""))</f>
        <v/>
      </c>
      <c r="D27" s="21"/>
      <c r="E27" s="18" t="s">
        <v>207</v>
      </c>
      <c r="F27" s="22" t="str">
        <f aca="false">IF($B27="","",IFERROR(IF(INDEX(Позиции!$E$5:$E$53,MATCH($B27,Позиции!$B$5:$B$53,0))="","нет ставки",INDEX(Позиции!$E$5:$E$53,MATCH($B27,Позиции!$B$5:$B$53,0))),"нет ставки"))</f>
        <v/>
      </c>
      <c r="G27" s="23" t="str">
        <f aca="false">IF($B27="","",IF($E27="Meister",IF(ISBLANK(Ставки!$B$5),"нет ставки",Ставки!$B$5),IF(ISBLANK(Ставки!$B$4),"нет ставки",Ставки!$B$4)))</f>
        <v/>
      </c>
      <c r="H27" s="23" t="str">
        <f aca="false">IF($B27="","",IF(AND(ISNUMBER($D27),ISNUMBER($F27),ISNUMBER($G27)),$D27*$F27*$G27,"нет ставки"))</f>
        <v/>
      </c>
      <c r="I27" s="23" t="str">
        <f aca="false">IF($B27="","",IFERROR(IF(INDEX(Позиции!$F$5:$F$53,MATCH($B27,Позиции!$B$5:$B$53,0))="","нет ставки",INDEX(Позиции!$F$5:$F$53,MATCH($B27,Позиции!$B$5:$B$53,0))),"нет ставки"))</f>
        <v/>
      </c>
      <c r="J27" s="23" t="str">
        <f aca="false">IF($B27="","",IF(AND(ISNUMBER($D27),ISNUMBER($I27),NOT(ISBLANK(Ставки!$B$6))),$D27*$I27*(1+Ставки!$B$6),"нет ставки"))</f>
        <v/>
      </c>
      <c r="K27" s="23" t="str">
        <f aca="false">IF($B27="","",IF(AND(ISNUMBER($H27),ISNUMBER($J27)),$H27+$J27,"нет ставки"))</f>
        <v/>
      </c>
      <c r="L27" s="23" t="str">
        <f aca="false">IF($B27="","",IF(AND(ISNUMBER($K27),NOT(ISBLANK(Ставки!$B$7))),$K27*Ставки!$B$7,"нет ставки"))</f>
        <v/>
      </c>
      <c r="M27" s="23" t="str">
        <f aca="false">IF($B27="","",IF(AND(ISNUMBER($K27),ISNUMBER($L27)),$K27+$L27,"нет ставки"))</f>
        <v/>
      </c>
      <c r="N27" s="23" t="str">
        <f aca="false">IF($B27="","",IF(AND(ISNUMBER($M27),NOT(ISBLANK(Ставки!$B$8))),$M27*Ставки!$B$8,"нет ставки"))</f>
        <v/>
      </c>
      <c r="O27" s="23" t="str">
        <f aca="false">IF($B27="","",IF(AND(ISNUMBER($M27),NOT(ISBLANK(Ставки!$B$9))),$M27*Ставки!$B$9,"нет ставки"))</f>
        <v/>
      </c>
      <c r="P27" s="23" t="str">
        <f aca="false">IF($B27="","",IF(AND(ISNUMBER($M27),ISNUMBER($N27),ISNUMBER($O27)),$M27+$N27+$O27,"нет ставки"))</f>
        <v/>
      </c>
      <c r="Q27" s="23" t="str">
        <f aca="false">IF($B27="","",IF(AND(ISNUMBER($P27),ISNUMBER($D27)),IF($D27=0,"нет ставки",$P27/$D27),"нет ставки"))</f>
        <v/>
      </c>
    </row>
    <row r="28" customFormat="false" ht="15" hidden="false" customHeight="false" outlineLevel="0" collapsed="false">
      <c r="A28" s="15" t="n">
        <v>23</v>
      </c>
      <c r="B28" s="18"/>
      <c r="C28" s="15" t="str">
        <f aca="false">IF($B28="","",IFERROR(INDEX(Позиции!$D$5:$D$53,MATCH($B28,Позиции!$B$5:$B$53,0)),""))</f>
        <v/>
      </c>
      <c r="D28" s="21"/>
      <c r="E28" s="18" t="s">
        <v>207</v>
      </c>
      <c r="F28" s="22" t="str">
        <f aca="false">IF($B28="","",IFERROR(IF(INDEX(Позиции!$E$5:$E$53,MATCH($B28,Позиции!$B$5:$B$53,0))="","нет ставки",INDEX(Позиции!$E$5:$E$53,MATCH($B28,Позиции!$B$5:$B$53,0))),"нет ставки"))</f>
        <v/>
      </c>
      <c r="G28" s="23" t="str">
        <f aca="false">IF($B28="","",IF($E28="Meister",IF(ISBLANK(Ставки!$B$5),"нет ставки",Ставки!$B$5),IF(ISBLANK(Ставки!$B$4),"нет ставки",Ставки!$B$4)))</f>
        <v/>
      </c>
      <c r="H28" s="23" t="str">
        <f aca="false">IF($B28="","",IF(AND(ISNUMBER($D28),ISNUMBER($F28),ISNUMBER($G28)),$D28*$F28*$G28,"нет ставки"))</f>
        <v/>
      </c>
      <c r="I28" s="23" t="str">
        <f aca="false">IF($B28="","",IFERROR(IF(INDEX(Позиции!$F$5:$F$53,MATCH($B28,Позиции!$B$5:$B$53,0))="","нет ставки",INDEX(Позиции!$F$5:$F$53,MATCH($B28,Позиции!$B$5:$B$53,0))),"нет ставки"))</f>
        <v/>
      </c>
      <c r="J28" s="23" t="str">
        <f aca="false">IF($B28="","",IF(AND(ISNUMBER($D28),ISNUMBER($I28),NOT(ISBLANK(Ставки!$B$6))),$D28*$I28*(1+Ставки!$B$6),"нет ставки"))</f>
        <v/>
      </c>
      <c r="K28" s="23" t="str">
        <f aca="false">IF($B28="","",IF(AND(ISNUMBER($H28),ISNUMBER($J28)),$H28+$J28,"нет ставки"))</f>
        <v/>
      </c>
      <c r="L28" s="23" t="str">
        <f aca="false">IF($B28="","",IF(AND(ISNUMBER($K28),NOT(ISBLANK(Ставки!$B$7))),$K28*Ставки!$B$7,"нет ставки"))</f>
        <v/>
      </c>
      <c r="M28" s="23" t="str">
        <f aca="false">IF($B28="","",IF(AND(ISNUMBER($K28),ISNUMBER($L28)),$K28+$L28,"нет ставки"))</f>
        <v/>
      </c>
      <c r="N28" s="23" t="str">
        <f aca="false">IF($B28="","",IF(AND(ISNUMBER($M28),NOT(ISBLANK(Ставки!$B$8))),$M28*Ставки!$B$8,"нет ставки"))</f>
        <v/>
      </c>
      <c r="O28" s="23" t="str">
        <f aca="false">IF($B28="","",IF(AND(ISNUMBER($M28),NOT(ISBLANK(Ставки!$B$9))),$M28*Ставки!$B$9,"нет ставки"))</f>
        <v/>
      </c>
      <c r="P28" s="23" t="str">
        <f aca="false">IF($B28="","",IF(AND(ISNUMBER($M28),ISNUMBER($N28),ISNUMBER($O28)),$M28+$N28+$O28,"нет ставки"))</f>
        <v/>
      </c>
      <c r="Q28" s="23" t="str">
        <f aca="false">IF($B28="","",IF(AND(ISNUMBER($P28),ISNUMBER($D28)),IF($D28=0,"нет ставки",$P28/$D28),"нет ставки"))</f>
        <v/>
      </c>
    </row>
    <row r="29" customFormat="false" ht="15" hidden="false" customHeight="false" outlineLevel="0" collapsed="false">
      <c r="A29" s="15" t="n">
        <v>24</v>
      </c>
      <c r="B29" s="18"/>
      <c r="C29" s="15" t="str">
        <f aca="false">IF($B29="","",IFERROR(INDEX(Позиции!$D$5:$D$53,MATCH($B29,Позиции!$B$5:$B$53,0)),""))</f>
        <v/>
      </c>
      <c r="D29" s="21"/>
      <c r="E29" s="18" t="s">
        <v>207</v>
      </c>
      <c r="F29" s="22" t="str">
        <f aca="false">IF($B29="","",IFERROR(IF(INDEX(Позиции!$E$5:$E$53,MATCH($B29,Позиции!$B$5:$B$53,0))="","нет ставки",INDEX(Позиции!$E$5:$E$53,MATCH($B29,Позиции!$B$5:$B$53,0))),"нет ставки"))</f>
        <v/>
      </c>
      <c r="G29" s="23" t="str">
        <f aca="false">IF($B29="","",IF($E29="Meister",IF(ISBLANK(Ставки!$B$5),"нет ставки",Ставки!$B$5),IF(ISBLANK(Ставки!$B$4),"нет ставки",Ставки!$B$4)))</f>
        <v/>
      </c>
      <c r="H29" s="23" t="str">
        <f aca="false">IF($B29="","",IF(AND(ISNUMBER($D29),ISNUMBER($F29),ISNUMBER($G29)),$D29*$F29*$G29,"нет ставки"))</f>
        <v/>
      </c>
      <c r="I29" s="23" t="str">
        <f aca="false">IF($B29="","",IFERROR(IF(INDEX(Позиции!$F$5:$F$53,MATCH($B29,Позиции!$B$5:$B$53,0))="","нет ставки",INDEX(Позиции!$F$5:$F$53,MATCH($B29,Позиции!$B$5:$B$53,0))),"нет ставки"))</f>
        <v/>
      </c>
      <c r="J29" s="23" t="str">
        <f aca="false">IF($B29="","",IF(AND(ISNUMBER($D29),ISNUMBER($I29),NOT(ISBLANK(Ставки!$B$6))),$D29*$I29*(1+Ставки!$B$6),"нет ставки"))</f>
        <v/>
      </c>
      <c r="K29" s="23" t="str">
        <f aca="false">IF($B29="","",IF(AND(ISNUMBER($H29),ISNUMBER($J29)),$H29+$J29,"нет ставки"))</f>
        <v/>
      </c>
      <c r="L29" s="23" t="str">
        <f aca="false">IF($B29="","",IF(AND(ISNUMBER($K29),NOT(ISBLANK(Ставки!$B$7))),$K29*Ставки!$B$7,"нет ставки"))</f>
        <v/>
      </c>
      <c r="M29" s="23" t="str">
        <f aca="false">IF($B29="","",IF(AND(ISNUMBER($K29),ISNUMBER($L29)),$K29+$L29,"нет ставки"))</f>
        <v/>
      </c>
      <c r="N29" s="23" t="str">
        <f aca="false">IF($B29="","",IF(AND(ISNUMBER($M29),NOT(ISBLANK(Ставки!$B$8))),$M29*Ставки!$B$8,"нет ставки"))</f>
        <v/>
      </c>
      <c r="O29" s="23" t="str">
        <f aca="false">IF($B29="","",IF(AND(ISNUMBER($M29),NOT(ISBLANK(Ставки!$B$9))),$M29*Ставки!$B$9,"нет ставки"))</f>
        <v/>
      </c>
      <c r="P29" s="23" t="str">
        <f aca="false">IF($B29="","",IF(AND(ISNUMBER($M29),ISNUMBER($N29),ISNUMBER($O29)),$M29+$N29+$O29,"нет ставки"))</f>
        <v/>
      </c>
      <c r="Q29" s="23" t="str">
        <f aca="false">IF($B29="","",IF(AND(ISNUMBER($P29),ISNUMBER($D29)),IF($D29=0,"нет ставки",$P29/$D29),"нет ставки"))</f>
        <v/>
      </c>
    </row>
    <row r="30" customFormat="false" ht="15" hidden="false" customHeight="false" outlineLevel="0" collapsed="false">
      <c r="A30" s="15" t="n">
        <v>25</v>
      </c>
      <c r="B30" s="18"/>
      <c r="C30" s="15" t="str">
        <f aca="false">IF($B30="","",IFERROR(INDEX(Позиции!$D$5:$D$53,MATCH($B30,Позиции!$B$5:$B$53,0)),""))</f>
        <v/>
      </c>
      <c r="D30" s="21"/>
      <c r="E30" s="18" t="s">
        <v>207</v>
      </c>
      <c r="F30" s="22" t="str">
        <f aca="false">IF($B30="","",IFERROR(IF(INDEX(Позиции!$E$5:$E$53,MATCH($B30,Позиции!$B$5:$B$53,0))="","нет ставки",INDEX(Позиции!$E$5:$E$53,MATCH($B30,Позиции!$B$5:$B$53,0))),"нет ставки"))</f>
        <v/>
      </c>
      <c r="G30" s="23" t="str">
        <f aca="false">IF($B30="","",IF($E30="Meister",IF(ISBLANK(Ставки!$B$5),"нет ставки",Ставки!$B$5),IF(ISBLANK(Ставки!$B$4),"нет ставки",Ставки!$B$4)))</f>
        <v/>
      </c>
      <c r="H30" s="23" t="str">
        <f aca="false">IF($B30="","",IF(AND(ISNUMBER($D30),ISNUMBER($F30),ISNUMBER($G30)),$D30*$F30*$G30,"нет ставки"))</f>
        <v/>
      </c>
      <c r="I30" s="23" t="str">
        <f aca="false">IF($B30="","",IFERROR(IF(INDEX(Позиции!$F$5:$F$53,MATCH($B30,Позиции!$B$5:$B$53,0))="","нет ставки",INDEX(Позиции!$F$5:$F$53,MATCH($B30,Позиции!$B$5:$B$53,0))),"нет ставки"))</f>
        <v/>
      </c>
      <c r="J30" s="23" t="str">
        <f aca="false">IF($B30="","",IF(AND(ISNUMBER($D30),ISNUMBER($I30),NOT(ISBLANK(Ставки!$B$6))),$D30*$I30*(1+Ставки!$B$6),"нет ставки"))</f>
        <v/>
      </c>
      <c r="K30" s="23" t="str">
        <f aca="false">IF($B30="","",IF(AND(ISNUMBER($H30),ISNUMBER($J30)),$H30+$J30,"нет ставки"))</f>
        <v/>
      </c>
      <c r="L30" s="23" t="str">
        <f aca="false">IF($B30="","",IF(AND(ISNUMBER($K30),NOT(ISBLANK(Ставки!$B$7))),$K30*Ставки!$B$7,"нет ставки"))</f>
        <v/>
      </c>
      <c r="M30" s="23" t="str">
        <f aca="false">IF($B30="","",IF(AND(ISNUMBER($K30),ISNUMBER($L30)),$K30+$L30,"нет ставки"))</f>
        <v/>
      </c>
      <c r="N30" s="23" t="str">
        <f aca="false">IF($B30="","",IF(AND(ISNUMBER($M30),NOT(ISBLANK(Ставки!$B$8))),$M30*Ставки!$B$8,"нет ставки"))</f>
        <v/>
      </c>
      <c r="O30" s="23" t="str">
        <f aca="false">IF($B30="","",IF(AND(ISNUMBER($M30),NOT(ISBLANK(Ставки!$B$9))),$M30*Ставки!$B$9,"нет ставки"))</f>
        <v/>
      </c>
      <c r="P30" s="23" t="str">
        <f aca="false">IF($B30="","",IF(AND(ISNUMBER($M30),ISNUMBER($N30),ISNUMBER($O30)),$M30+$N30+$O30,"нет ставки"))</f>
        <v/>
      </c>
      <c r="Q30" s="23" t="str">
        <f aca="false">IF($B30="","",IF(AND(ISNUMBER($P30),ISNUMBER($D30)),IF($D30=0,"нет ставки",$P30/$D30),"нет ставки"))</f>
        <v/>
      </c>
    </row>
    <row r="32" customFormat="false" ht="15" hidden="false" customHeight="false" outlineLevel="0" collapsed="false">
      <c r="A32" s="6" t="s">
        <v>208</v>
      </c>
    </row>
    <row r="33" customFormat="false" ht="15" hidden="false" customHeight="false" outlineLevel="0" collapsed="false">
      <c r="B33" s="0" t="s">
        <v>209</v>
      </c>
      <c r="D33" s="18"/>
    </row>
    <row r="34" customFormat="false" ht="15" hidden="false" customHeight="false" outlineLevel="0" collapsed="false">
      <c r="B34" s="0" t="s">
        <v>210</v>
      </c>
      <c r="D34" s="18"/>
    </row>
    <row r="35" customFormat="false" ht="15" hidden="false" customHeight="false" outlineLevel="0" collapsed="false">
      <c r="B35" s="0" t="s">
        <v>211</v>
      </c>
      <c r="D35" s="24" t="n">
        <f aca="false">IF(AND(ISBLANK(D33),ISBLANK(D34)),0,IF(AND(ISNUMBER(D33),ISNUMBER(D34),NOT(ISBLANK(Ставки!$B$10))),D33*2*D34*Ставки!$B$10,"нет ставки"))</f>
        <v>0</v>
      </c>
      <c r="E35" s="2" t="s">
        <v>212</v>
      </c>
    </row>
    <row r="37" customFormat="false" ht="15" hidden="false" customHeight="false" outlineLevel="0" collapsed="false">
      <c r="A37" s="25" t="s">
        <v>213</v>
      </c>
    </row>
    <row r="38" customFormat="false" ht="15" hidden="false" customHeight="false" outlineLevel="0" collapsed="false">
      <c r="B38" s="6" t="s">
        <v>214</v>
      </c>
      <c r="D38" s="26" t="str">
        <f aca="false">IF(OR(COUNTIF(P6:P30,"нет ставки")&gt;0,COUNTA(B6:B30)=0,NOT(ISNUMBER($D$35))),"нет ставки",SUM(H6:H30))</f>
        <v>нет ставки</v>
      </c>
      <c r="E38" s="7" t="s">
        <v>215</v>
      </c>
    </row>
    <row r="39" customFormat="false" ht="15" hidden="false" customHeight="false" outlineLevel="0" collapsed="false">
      <c r="B39" s="6" t="s">
        <v>216</v>
      </c>
      <c r="D39" s="26" t="str">
        <f aca="false">IF(OR(COUNTIF(P6:P30,"нет ставки")&gt;0,COUNTA(B6:B30)=0,NOT(ISNUMBER($D$35))),"нет ставки",SUM(J6:J30))</f>
        <v>нет ставки</v>
      </c>
      <c r="E39" s="7" t="s">
        <v>217</v>
      </c>
    </row>
    <row r="40" customFormat="false" ht="15" hidden="false" customHeight="false" outlineLevel="0" collapsed="false">
      <c r="B40" s="6" t="s">
        <v>218</v>
      </c>
      <c r="D40" s="26" t="str">
        <f aca="false">IF(OR(COUNTIF(P6:P30,"нет ставки")&gt;0,COUNTA(B6:B30)=0,NOT(ISNUMBER($D$35))),"нет ставки",SUM(L6:L30))</f>
        <v>нет ставки</v>
      </c>
      <c r="E40" s="7" t="s">
        <v>219</v>
      </c>
    </row>
    <row r="41" customFormat="false" ht="15" hidden="false" customHeight="false" outlineLevel="0" collapsed="false">
      <c r="B41" s="6" t="s">
        <v>27</v>
      </c>
      <c r="D41" s="26" t="n">
        <f aca="false">$D$35</f>
        <v>0</v>
      </c>
      <c r="E41" s="7" t="s">
        <v>220</v>
      </c>
    </row>
    <row r="42" customFormat="false" ht="15" hidden="false" customHeight="false" outlineLevel="0" collapsed="false">
      <c r="B42" s="6" t="s">
        <v>221</v>
      </c>
      <c r="D42" s="26" t="str">
        <f aca="false">IF(OR(COUNTIF(P6:P30,"нет ставки")&gt;0,COUNTA(B6:B30)=0,NOT(ISNUMBER($D$35))),"нет ставки",SUM(M6:M30)+$D$35)</f>
        <v>нет ставки</v>
      </c>
      <c r="E42" s="7" t="s">
        <v>222</v>
      </c>
    </row>
    <row r="43" customFormat="false" ht="15" hidden="false" customHeight="false" outlineLevel="0" collapsed="false">
      <c r="B43" s="6" t="s">
        <v>21</v>
      </c>
      <c r="D43" s="26" t="str">
        <f aca="false">IF(OR(COUNTIF(P6:P30,"нет ставки")&gt;0,COUNTA(B6:B30)=0,NOT(ISNUMBER($D$35))),"нет ставки",SUM(N6:N30)+$D$35*Ставки!$B$8)</f>
        <v>нет ставки</v>
      </c>
      <c r="E43" s="7" t="s">
        <v>223</v>
      </c>
    </row>
    <row r="44" customFormat="false" ht="15" hidden="false" customHeight="false" outlineLevel="0" collapsed="false">
      <c r="B44" s="6" t="s">
        <v>224</v>
      </c>
      <c r="D44" s="26" t="str">
        <f aca="false">IF(OR(COUNTIF(P6:P30,"нет ставки")&gt;0,COUNTA(B6:B30)=0,NOT(ISNUMBER($D$35))),"нет ставки",SUM(O6:O30)+$D$35*Ставки!$B$9)</f>
        <v>нет ставки</v>
      </c>
      <c r="E44" s="7" t="s">
        <v>225</v>
      </c>
    </row>
    <row r="45" customFormat="false" ht="15" hidden="false" customHeight="false" outlineLevel="0" collapsed="false">
      <c r="B45" s="6" t="s">
        <v>226</v>
      </c>
      <c r="D45" s="26" t="str">
        <f aca="false">IF(OR(COUNTIF(P6:P30,"нет ставки")&gt;0,COUNTA(B6:B30)=0,NOT(ISNUMBER($D$35))),"нет ставки",SUM(P6:P30)+$D$35*(1+Ставки!$B$8+Ставки!$B$9))</f>
        <v>нет ставки</v>
      </c>
      <c r="E45" s="7" t="s">
        <v>227</v>
      </c>
    </row>
    <row r="46" customFormat="false" ht="15" hidden="false" customHeight="false" outlineLevel="0" collapsed="false">
      <c r="B46" s="6" t="s">
        <v>228</v>
      </c>
      <c r="D46" s="26" t="str">
        <f aca="false">IF(ISNUMBER(D45),D45*Ставки!$B$13,"нет ставки")</f>
        <v>нет ставки</v>
      </c>
      <c r="E46" s="7" t="s">
        <v>37</v>
      </c>
    </row>
    <row r="47" customFormat="false" ht="15" hidden="false" customHeight="false" outlineLevel="0" collapsed="false">
      <c r="B47" s="6" t="s">
        <v>229</v>
      </c>
      <c r="D47" s="26" t="str">
        <f aca="false">IF(ISNUMBER(D45),D45+D46,"нет ставки")</f>
        <v>нет ставки</v>
      </c>
      <c r="E47" s="7" t="s">
        <v>230</v>
      </c>
    </row>
    <row r="48" customFormat="false" ht="15" hidden="false" customHeight="false" outlineLevel="0" collapsed="false">
      <c r="B48" s="6" t="s">
        <v>231</v>
      </c>
      <c r="D48" s="26" t="str">
        <f aca="false">IF(ISNUMBER(D45),D45-D42,"нет ставки")</f>
        <v>нет ставки</v>
      </c>
      <c r="E48" s="7" t="s">
        <v>232</v>
      </c>
    </row>
    <row r="49" customFormat="false" ht="15" hidden="false" customHeight="false" outlineLevel="0" collapsed="false">
      <c r="B49" s="6" t="s">
        <v>233</v>
      </c>
      <c r="D49" s="27" t="str">
        <f aca="false">IF(ISNUMBER(D45),IF(D45=0,"нет ставки",D48/D45),"нет ставки")</f>
        <v>нет ставки</v>
      </c>
      <c r="E49" s="7" t="s">
        <v>234</v>
      </c>
    </row>
    <row r="51" customFormat="false" ht="15" hidden="false" customHeight="false" outlineLevel="0" collapsed="false">
      <c r="B51" s="2" t="s">
        <v>235</v>
      </c>
    </row>
  </sheetData>
  <mergeCells count="1">
    <mergeCell ref="C2:H2"/>
  </mergeCells>
  <dataValidations count="2">
    <dataValidation allowBlank="true" errorStyle="stop" operator="between" showDropDown="false" showErrorMessage="false" showInputMessage="false" sqref="B6:B30" type="list">
      <formula1>Позиции!$B$5:$B$53</formula1>
      <formula2>0</formula2>
    </dataValidation>
    <dataValidation allowBlank="true" errorStyle="stop" operator="between" showDropDown="false" showErrorMessage="false" showInputMessage="false" sqref="E6:E30" type="list">
      <formula1>"Geselle,Meister"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6" min="5" style="0" width="18"/>
  </cols>
  <sheetData>
    <row r="1" customFormat="false" ht="17.3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4" t="s">
        <v>237</v>
      </c>
    </row>
    <row r="3" customFormat="false" ht="15" hidden="false" customHeight="false" outlineLevel="0" collapsed="false">
      <c r="A3" s="4" t="s">
        <v>238</v>
      </c>
    </row>
    <row r="5" customFormat="false" ht="15" hidden="false" customHeight="false" outlineLevel="0" collapsed="false">
      <c r="A5" s="4" t="s">
        <v>239</v>
      </c>
      <c r="E5" s="6" t="s">
        <v>240</v>
      </c>
      <c r="F5" s="28" t="n">
        <f aca="true">TODAY()</f>
        <v>46302</v>
      </c>
    </row>
    <row r="6" customFormat="false" ht="15" hidden="false" customHeight="false" outlineLevel="0" collapsed="false">
      <c r="A6" s="4" t="s">
        <v>241</v>
      </c>
      <c r="E6" s="6" t="s">
        <v>242</v>
      </c>
      <c r="F6" s="4" t="s">
        <v>243</v>
      </c>
    </row>
    <row r="8" customFormat="false" ht="19.7" hidden="false" customHeight="false" outlineLevel="0" collapsed="false">
      <c r="A8" s="29" t="s">
        <v>244</v>
      </c>
    </row>
    <row r="9" customFormat="false" ht="15" hidden="false" customHeight="false" outlineLevel="0" collapsed="false">
      <c r="A9" s="6" t="str">
        <f aca="false">IF(Расчёт!C2="","Bauvorhaben: [Objekt]","Bauvorhaben: "&amp;Расчёт!C2)</f>
        <v>Bauvorhaben: [Objekt]</v>
      </c>
    </row>
    <row r="10" customFormat="false" ht="15" hidden="false" customHeight="false" outlineLevel="0" collapsed="false">
      <c r="A10" s="4" t="s">
        <v>245</v>
      </c>
    </row>
    <row r="11" customFormat="false" ht="15" hidden="false" customHeight="false" outlineLevel="0" collapsed="false">
      <c r="A11" s="4" t="s">
        <v>246</v>
      </c>
    </row>
    <row r="13" customFormat="false" ht="15" hidden="false" customHeight="false" outlineLevel="0" collapsed="false">
      <c r="A13" s="3" t="s">
        <v>247</v>
      </c>
      <c r="B13" s="3" t="s">
        <v>248</v>
      </c>
      <c r="C13" s="3" t="s">
        <v>193</v>
      </c>
      <c r="D13" s="3" t="s">
        <v>4</v>
      </c>
      <c r="E13" s="3" t="s">
        <v>249</v>
      </c>
      <c r="F13" s="3" t="s">
        <v>250</v>
      </c>
    </row>
    <row r="14" customFormat="false" ht="15" hidden="false" customHeight="false" outlineLevel="0" collapsed="false">
      <c r="A14" s="15" t="n">
        <f aca="false">IF(Расчёт!B6="","",Расчёт!A6)</f>
        <v>1</v>
      </c>
      <c r="B14" s="30" t="str">
        <f aca="false">IF(Расчёт!B6="","",Расчёт!B6)</f>
        <v>Trockenbau Wand CW/UW 75, 2-lagig beplankt, inkl. Dämmung</v>
      </c>
      <c r="C14" s="31" t="n">
        <f aca="false">IF(Расчёт!B6="","",Расчёт!D6)</f>
        <v>25</v>
      </c>
      <c r="D14" s="15" t="str">
        <f aca="false">IF(Расчёт!B6="","",Расчёт!C6)</f>
        <v>m²</v>
      </c>
      <c r="E14" s="23" t="str">
        <f aca="false">IF(Расчёт!B6="","",Расчёт!Q6)</f>
        <v>нет ставки</v>
      </c>
      <c r="F14" s="23" t="str">
        <f aca="false">IF(Расчёт!B6="","",Расчёт!P6)</f>
        <v>нет ставки</v>
      </c>
    </row>
    <row r="15" customFormat="false" ht="15" hidden="false" customHeight="false" outlineLevel="0" collapsed="false">
      <c r="A15" s="15" t="str">
        <f aca="false">IF(Расчёт!B7="","",Расчёт!A7)</f>
        <v/>
      </c>
      <c r="B15" s="30" t="str">
        <f aca="false">IF(Расчёт!B7="","",Расчёт!B7)</f>
        <v/>
      </c>
      <c r="C15" s="31" t="str">
        <f aca="false">IF(Расчёт!B7="","",Расчёт!D7)</f>
        <v/>
      </c>
      <c r="D15" s="15" t="str">
        <f aca="false">IF(Расчёт!B7="","",Расчёт!C7)</f>
        <v/>
      </c>
      <c r="E15" s="23" t="str">
        <f aca="false">IF(Расчёт!B7="","",Расчёт!Q7)</f>
        <v/>
      </c>
      <c r="F15" s="23" t="str">
        <f aca="false">IF(Расчёт!B7="","",Расчёт!P7)</f>
        <v/>
      </c>
    </row>
    <row r="16" customFormat="false" ht="15" hidden="false" customHeight="false" outlineLevel="0" collapsed="false">
      <c r="A16" s="15" t="str">
        <f aca="false">IF(Расчёт!B8="","",Расчёт!A8)</f>
        <v/>
      </c>
      <c r="B16" s="30" t="str">
        <f aca="false">IF(Расчёт!B8="","",Расчёт!B8)</f>
        <v/>
      </c>
      <c r="C16" s="31" t="str">
        <f aca="false">IF(Расчёт!B8="","",Расчёт!D8)</f>
        <v/>
      </c>
      <c r="D16" s="15" t="str">
        <f aca="false">IF(Расчёт!B8="","",Расчёт!C8)</f>
        <v/>
      </c>
      <c r="E16" s="23" t="str">
        <f aca="false">IF(Расчёт!B8="","",Расчёт!Q8)</f>
        <v/>
      </c>
      <c r="F16" s="23" t="str">
        <f aca="false">IF(Расчёт!B8="","",Расчёт!P8)</f>
        <v/>
      </c>
    </row>
    <row r="17" customFormat="false" ht="15" hidden="false" customHeight="false" outlineLevel="0" collapsed="false">
      <c r="A17" s="15" t="str">
        <f aca="false">IF(Расчёт!B9="","",Расчёт!A9)</f>
        <v/>
      </c>
      <c r="B17" s="30" t="str">
        <f aca="false">IF(Расчёт!B9="","",Расчёт!B9)</f>
        <v/>
      </c>
      <c r="C17" s="31" t="str">
        <f aca="false">IF(Расчёт!B9="","",Расчёт!D9)</f>
        <v/>
      </c>
      <c r="D17" s="15" t="str">
        <f aca="false">IF(Расчёт!B9="","",Расчёт!C9)</f>
        <v/>
      </c>
      <c r="E17" s="23" t="str">
        <f aca="false">IF(Расчёт!B9="","",Расчёт!Q9)</f>
        <v/>
      </c>
      <c r="F17" s="23" t="str">
        <f aca="false">IF(Расчёт!B9="","",Расчёт!P9)</f>
        <v/>
      </c>
    </row>
    <row r="18" customFormat="false" ht="15" hidden="false" customHeight="false" outlineLevel="0" collapsed="false">
      <c r="A18" s="15" t="str">
        <f aca="false">IF(Расчёт!B10="","",Расчёт!A10)</f>
        <v/>
      </c>
      <c r="B18" s="30" t="str">
        <f aca="false">IF(Расчёт!B10="","",Расчёт!B10)</f>
        <v/>
      </c>
      <c r="C18" s="31" t="str">
        <f aca="false">IF(Расчёт!B10="","",Расчёт!D10)</f>
        <v/>
      </c>
      <c r="D18" s="15" t="str">
        <f aca="false">IF(Расчёт!B10="","",Расчёт!C10)</f>
        <v/>
      </c>
      <c r="E18" s="23" t="str">
        <f aca="false">IF(Расчёт!B10="","",Расчёт!Q10)</f>
        <v/>
      </c>
      <c r="F18" s="23" t="str">
        <f aca="false">IF(Расчёт!B10="","",Расчёт!P10)</f>
        <v/>
      </c>
    </row>
    <row r="19" customFormat="false" ht="15" hidden="false" customHeight="false" outlineLevel="0" collapsed="false">
      <c r="A19" s="15" t="str">
        <f aca="false">IF(Расчёт!B11="","",Расчёт!A11)</f>
        <v/>
      </c>
      <c r="B19" s="30" t="str">
        <f aca="false">IF(Расчёт!B11="","",Расчёт!B11)</f>
        <v/>
      </c>
      <c r="C19" s="31" t="str">
        <f aca="false">IF(Расчёт!B11="","",Расчёт!D11)</f>
        <v/>
      </c>
      <c r="D19" s="15" t="str">
        <f aca="false">IF(Расчёт!B11="","",Расчёт!C11)</f>
        <v/>
      </c>
      <c r="E19" s="23" t="str">
        <f aca="false">IF(Расчёт!B11="","",Расчёт!Q11)</f>
        <v/>
      </c>
      <c r="F19" s="23" t="str">
        <f aca="false">IF(Расчёт!B11="","",Расчёт!P11)</f>
        <v/>
      </c>
    </row>
    <row r="20" customFormat="false" ht="15" hidden="false" customHeight="false" outlineLevel="0" collapsed="false">
      <c r="A20" s="15" t="str">
        <f aca="false">IF(Расчёт!B12="","",Расчёт!A12)</f>
        <v/>
      </c>
      <c r="B20" s="30" t="str">
        <f aca="false">IF(Расчёт!B12="","",Расчёт!B12)</f>
        <v/>
      </c>
      <c r="C20" s="31" t="str">
        <f aca="false">IF(Расчёт!B12="","",Расчёт!D12)</f>
        <v/>
      </c>
      <c r="D20" s="15" t="str">
        <f aca="false">IF(Расчёт!B12="","",Расчёт!C12)</f>
        <v/>
      </c>
      <c r="E20" s="23" t="str">
        <f aca="false">IF(Расчёт!B12="","",Расчёт!Q12)</f>
        <v/>
      </c>
      <c r="F20" s="23" t="str">
        <f aca="false">IF(Расчёт!B12="","",Расчёт!P12)</f>
        <v/>
      </c>
    </row>
    <row r="21" customFormat="false" ht="15" hidden="false" customHeight="false" outlineLevel="0" collapsed="false">
      <c r="A21" s="15" t="str">
        <f aca="false">IF(Расчёт!B13="","",Расчёт!A13)</f>
        <v/>
      </c>
      <c r="B21" s="30" t="str">
        <f aca="false">IF(Расчёт!B13="","",Расчёт!B13)</f>
        <v/>
      </c>
      <c r="C21" s="31" t="str">
        <f aca="false">IF(Расчёт!B13="","",Расчёт!D13)</f>
        <v/>
      </c>
      <c r="D21" s="15" t="str">
        <f aca="false">IF(Расчёт!B13="","",Расчёт!C13)</f>
        <v/>
      </c>
      <c r="E21" s="23" t="str">
        <f aca="false">IF(Расчёт!B13="","",Расчёт!Q13)</f>
        <v/>
      </c>
      <c r="F21" s="23" t="str">
        <f aca="false">IF(Расчёт!B13="","",Расчёт!P13)</f>
        <v/>
      </c>
    </row>
    <row r="22" customFormat="false" ht="15" hidden="false" customHeight="false" outlineLevel="0" collapsed="false">
      <c r="A22" s="15" t="str">
        <f aca="false">IF(Расчёт!B14="","",Расчёт!A14)</f>
        <v/>
      </c>
      <c r="B22" s="30" t="str">
        <f aca="false">IF(Расчёт!B14="","",Расчёт!B14)</f>
        <v/>
      </c>
      <c r="C22" s="31" t="str">
        <f aca="false">IF(Расчёт!B14="","",Расчёт!D14)</f>
        <v/>
      </c>
      <c r="D22" s="15" t="str">
        <f aca="false">IF(Расчёт!B14="","",Расчёт!C14)</f>
        <v/>
      </c>
      <c r="E22" s="23" t="str">
        <f aca="false">IF(Расчёт!B14="","",Расчёт!Q14)</f>
        <v/>
      </c>
      <c r="F22" s="23" t="str">
        <f aca="false">IF(Расчёт!B14="","",Расчёт!P14)</f>
        <v/>
      </c>
    </row>
    <row r="23" customFormat="false" ht="15" hidden="false" customHeight="false" outlineLevel="0" collapsed="false">
      <c r="A23" s="15" t="str">
        <f aca="false">IF(Расчёт!B15="","",Расчёт!A15)</f>
        <v/>
      </c>
      <c r="B23" s="30" t="str">
        <f aca="false">IF(Расчёт!B15="","",Расчёт!B15)</f>
        <v/>
      </c>
      <c r="C23" s="31" t="str">
        <f aca="false">IF(Расчёт!B15="","",Расчёт!D15)</f>
        <v/>
      </c>
      <c r="D23" s="15" t="str">
        <f aca="false">IF(Расчёт!B15="","",Расчёт!C15)</f>
        <v/>
      </c>
      <c r="E23" s="23" t="str">
        <f aca="false">IF(Расчёт!B15="","",Расчёт!Q15)</f>
        <v/>
      </c>
      <c r="F23" s="23" t="str">
        <f aca="false">IF(Расчёт!B15="","",Расчёт!P15)</f>
        <v/>
      </c>
    </row>
    <row r="24" customFormat="false" ht="15" hidden="false" customHeight="false" outlineLevel="0" collapsed="false">
      <c r="A24" s="15" t="str">
        <f aca="false">IF(Расчёт!B16="","",Расчёт!A16)</f>
        <v/>
      </c>
      <c r="B24" s="30" t="str">
        <f aca="false">IF(Расчёт!B16="","",Расчёт!B16)</f>
        <v/>
      </c>
      <c r="C24" s="31" t="str">
        <f aca="false">IF(Расчёт!B16="","",Расчёт!D16)</f>
        <v/>
      </c>
      <c r="D24" s="15" t="str">
        <f aca="false">IF(Расчёт!B16="","",Расчёт!C16)</f>
        <v/>
      </c>
      <c r="E24" s="23" t="str">
        <f aca="false">IF(Расчёт!B16="","",Расчёт!Q16)</f>
        <v/>
      </c>
      <c r="F24" s="23" t="str">
        <f aca="false">IF(Расчёт!B16="","",Расчёт!P16)</f>
        <v/>
      </c>
    </row>
    <row r="25" customFormat="false" ht="15" hidden="false" customHeight="false" outlineLevel="0" collapsed="false">
      <c r="A25" s="15" t="str">
        <f aca="false">IF(Расчёт!B17="","",Расчёт!A17)</f>
        <v/>
      </c>
      <c r="B25" s="30" t="str">
        <f aca="false">IF(Расчёт!B17="","",Расчёт!B17)</f>
        <v/>
      </c>
      <c r="C25" s="31" t="str">
        <f aca="false">IF(Расчёт!B17="","",Расчёт!D17)</f>
        <v/>
      </c>
      <c r="D25" s="15" t="str">
        <f aca="false">IF(Расчёт!B17="","",Расчёт!C17)</f>
        <v/>
      </c>
      <c r="E25" s="23" t="str">
        <f aca="false">IF(Расчёт!B17="","",Расчёт!Q17)</f>
        <v/>
      </c>
      <c r="F25" s="23" t="str">
        <f aca="false">IF(Расчёт!B17="","",Расчёт!P17)</f>
        <v/>
      </c>
    </row>
    <row r="26" customFormat="false" ht="15" hidden="false" customHeight="false" outlineLevel="0" collapsed="false">
      <c r="A26" s="15" t="str">
        <f aca="false">IF(Расчёт!B18="","",Расчёт!A18)</f>
        <v/>
      </c>
      <c r="B26" s="30" t="str">
        <f aca="false">IF(Расчёт!B18="","",Расчёт!B18)</f>
        <v/>
      </c>
      <c r="C26" s="31" t="str">
        <f aca="false">IF(Расчёт!B18="","",Расчёт!D18)</f>
        <v/>
      </c>
      <c r="D26" s="15" t="str">
        <f aca="false">IF(Расчёт!B18="","",Расчёт!C18)</f>
        <v/>
      </c>
      <c r="E26" s="23" t="str">
        <f aca="false">IF(Расчёт!B18="","",Расчёт!Q18)</f>
        <v/>
      </c>
      <c r="F26" s="23" t="str">
        <f aca="false">IF(Расчёт!B18="","",Расчёт!P18)</f>
        <v/>
      </c>
    </row>
    <row r="27" customFormat="false" ht="15" hidden="false" customHeight="false" outlineLevel="0" collapsed="false">
      <c r="A27" s="15" t="str">
        <f aca="false">IF(Расчёт!B19="","",Расчёт!A19)</f>
        <v/>
      </c>
      <c r="B27" s="30" t="str">
        <f aca="false">IF(Расчёт!B19="","",Расчёт!B19)</f>
        <v/>
      </c>
      <c r="C27" s="31" t="str">
        <f aca="false">IF(Расчёт!B19="","",Расчёт!D19)</f>
        <v/>
      </c>
      <c r="D27" s="15" t="str">
        <f aca="false">IF(Расчёт!B19="","",Расчёт!C19)</f>
        <v/>
      </c>
      <c r="E27" s="23" t="str">
        <f aca="false">IF(Расчёт!B19="","",Расчёт!Q19)</f>
        <v/>
      </c>
      <c r="F27" s="23" t="str">
        <f aca="false">IF(Расчёт!B19="","",Расчёт!P19)</f>
        <v/>
      </c>
    </row>
    <row r="28" customFormat="false" ht="15" hidden="false" customHeight="false" outlineLevel="0" collapsed="false">
      <c r="A28" s="15" t="str">
        <f aca="false">IF(Расчёт!B20="","",Расчёт!A20)</f>
        <v/>
      </c>
      <c r="B28" s="30" t="str">
        <f aca="false">IF(Расчёт!B20="","",Расчёт!B20)</f>
        <v/>
      </c>
      <c r="C28" s="31" t="str">
        <f aca="false">IF(Расчёт!B20="","",Расчёт!D20)</f>
        <v/>
      </c>
      <c r="D28" s="15" t="str">
        <f aca="false">IF(Расчёт!B20="","",Расчёт!C20)</f>
        <v/>
      </c>
      <c r="E28" s="23" t="str">
        <f aca="false">IF(Расчёт!B20="","",Расчёт!Q20)</f>
        <v/>
      </c>
      <c r="F28" s="23" t="str">
        <f aca="false">IF(Расчёт!B20="","",Расчёт!P20)</f>
        <v/>
      </c>
    </row>
    <row r="29" customFormat="false" ht="15" hidden="false" customHeight="false" outlineLevel="0" collapsed="false">
      <c r="A29" s="15" t="str">
        <f aca="false">IF(Расчёт!B21="","",Расчёт!A21)</f>
        <v/>
      </c>
      <c r="B29" s="30" t="str">
        <f aca="false">IF(Расчёт!B21="","",Расчёт!B21)</f>
        <v/>
      </c>
      <c r="C29" s="31" t="str">
        <f aca="false">IF(Расчёт!B21="","",Расчёт!D21)</f>
        <v/>
      </c>
      <c r="D29" s="15" t="str">
        <f aca="false">IF(Расчёт!B21="","",Расчёт!C21)</f>
        <v/>
      </c>
      <c r="E29" s="23" t="str">
        <f aca="false">IF(Расчёт!B21="","",Расчёт!Q21)</f>
        <v/>
      </c>
      <c r="F29" s="23" t="str">
        <f aca="false">IF(Расчёт!B21="","",Расчёт!P21)</f>
        <v/>
      </c>
    </row>
    <row r="30" customFormat="false" ht="15" hidden="false" customHeight="false" outlineLevel="0" collapsed="false">
      <c r="A30" s="15" t="str">
        <f aca="false">IF(Расчёт!B22="","",Расчёт!A22)</f>
        <v/>
      </c>
      <c r="B30" s="30" t="str">
        <f aca="false">IF(Расчёт!B22="","",Расчёт!B22)</f>
        <v/>
      </c>
      <c r="C30" s="31" t="str">
        <f aca="false">IF(Расчёт!B22="","",Расчёт!D22)</f>
        <v/>
      </c>
      <c r="D30" s="15" t="str">
        <f aca="false">IF(Расчёт!B22="","",Расчёт!C22)</f>
        <v/>
      </c>
      <c r="E30" s="23" t="str">
        <f aca="false">IF(Расчёт!B22="","",Расчёт!Q22)</f>
        <v/>
      </c>
      <c r="F30" s="23" t="str">
        <f aca="false">IF(Расчёт!B22="","",Расчёт!P22)</f>
        <v/>
      </c>
    </row>
    <row r="31" customFormat="false" ht="15" hidden="false" customHeight="false" outlineLevel="0" collapsed="false">
      <c r="A31" s="15" t="str">
        <f aca="false">IF(Расчёт!B23="","",Расчёт!A23)</f>
        <v/>
      </c>
      <c r="B31" s="30" t="str">
        <f aca="false">IF(Расчёт!B23="","",Расчёт!B23)</f>
        <v/>
      </c>
      <c r="C31" s="31" t="str">
        <f aca="false">IF(Расчёт!B23="","",Расчёт!D23)</f>
        <v/>
      </c>
      <c r="D31" s="15" t="str">
        <f aca="false">IF(Расчёт!B23="","",Расчёт!C23)</f>
        <v/>
      </c>
      <c r="E31" s="23" t="str">
        <f aca="false">IF(Расчёт!B23="","",Расчёт!Q23)</f>
        <v/>
      </c>
      <c r="F31" s="23" t="str">
        <f aca="false">IF(Расчёт!B23="","",Расчёт!P23)</f>
        <v/>
      </c>
    </row>
    <row r="32" customFormat="false" ht="15" hidden="false" customHeight="false" outlineLevel="0" collapsed="false">
      <c r="A32" s="15" t="str">
        <f aca="false">IF(Расчёт!B24="","",Расчёт!A24)</f>
        <v/>
      </c>
      <c r="B32" s="30" t="str">
        <f aca="false">IF(Расчёт!B24="","",Расчёт!B24)</f>
        <v/>
      </c>
      <c r="C32" s="31" t="str">
        <f aca="false">IF(Расчёт!B24="","",Расчёт!D24)</f>
        <v/>
      </c>
      <c r="D32" s="15" t="str">
        <f aca="false">IF(Расчёт!B24="","",Расчёт!C24)</f>
        <v/>
      </c>
      <c r="E32" s="23" t="str">
        <f aca="false">IF(Расчёт!B24="","",Расчёт!Q24)</f>
        <v/>
      </c>
      <c r="F32" s="23" t="str">
        <f aca="false">IF(Расчёт!B24="","",Расчёт!P24)</f>
        <v/>
      </c>
    </row>
    <row r="33" customFormat="false" ht="15" hidden="false" customHeight="false" outlineLevel="0" collapsed="false">
      <c r="A33" s="15" t="str">
        <f aca="false">IF(Расчёт!B25="","",Расчёт!A25)</f>
        <v/>
      </c>
      <c r="B33" s="30" t="str">
        <f aca="false">IF(Расчёт!B25="","",Расчёт!B25)</f>
        <v/>
      </c>
      <c r="C33" s="31" t="str">
        <f aca="false">IF(Расчёт!B25="","",Расчёт!D25)</f>
        <v/>
      </c>
      <c r="D33" s="15" t="str">
        <f aca="false">IF(Расчёт!B25="","",Расчёт!C25)</f>
        <v/>
      </c>
      <c r="E33" s="23" t="str">
        <f aca="false">IF(Расчёт!B25="","",Расчёт!Q25)</f>
        <v/>
      </c>
      <c r="F33" s="23" t="str">
        <f aca="false">IF(Расчёт!B25="","",Расчёт!P25)</f>
        <v/>
      </c>
    </row>
    <row r="34" customFormat="false" ht="15" hidden="false" customHeight="false" outlineLevel="0" collapsed="false">
      <c r="A34" s="15" t="str">
        <f aca="false">IF(Расчёт!B26="","",Расчёт!A26)</f>
        <v/>
      </c>
      <c r="B34" s="30" t="str">
        <f aca="false">IF(Расчёт!B26="","",Расчёт!B26)</f>
        <v/>
      </c>
      <c r="C34" s="31" t="str">
        <f aca="false">IF(Расчёт!B26="","",Расчёт!D26)</f>
        <v/>
      </c>
      <c r="D34" s="15" t="str">
        <f aca="false">IF(Расчёт!B26="","",Расчёт!C26)</f>
        <v/>
      </c>
      <c r="E34" s="23" t="str">
        <f aca="false">IF(Расчёт!B26="","",Расчёт!Q26)</f>
        <v/>
      </c>
      <c r="F34" s="23" t="str">
        <f aca="false">IF(Расчёт!B26="","",Расчёт!P26)</f>
        <v/>
      </c>
    </row>
    <row r="35" customFormat="false" ht="15" hidden="false" customHeight="false" outlineLevel="0" collapsed="false">
      <c r="A35" s="15" t="str">
        <f aca="false">IF(Расчёт!B27="","",Расчёт!A27)</f>
        <v/>
      </c>
      <c r="B35" s="30" t="str">
        <f aca="false">IF(Расчёт!B27="","",Расчёт!B27)</f>
        <v/>
      </c>
      <c r="C35" s="31" t="str">
        <f aca="false">IF(Расчёт!B27="","",Расчёт!D27)</f>
        <v/>
      </c>
      <c r="D35" s="15" t="str">
        <f aca="false">IF(Расчёт!B27="","",Расчёт!C27)</f>
        <v/>
      </c>
      <c r="E35" s="23" t="str">
        <f aca="false">IF(Расчёт!B27="","",Расчёт!Q27)</f>
        <v/>
      </c>
      <c r="F35" s="23" t="str">
        <f aca="false">IF(Расчёт!B27="","",Расчёт!P27)</f>
        <v/>
      </c>
    </row>
    <row r="36" customFormat="false" ht="15" hidden="false" customHeight="false" outlineLevel="0" collapsed="false">
      <c r="A36" s="15" t="str">
        <f aca="false">IF(Расчёт!B28="","",Расчёт!A28)</f>
        <v/>
      </c>
      <c r="B36" s="30" t="str">
        <f aca="false">IF(Расчёт!B28="","",Расчёт!B28)</f>
        <v/>
      </c>
      <c r="C36" s="31" t="str">
        <f aca="false">IF(Расчёт!B28="","",Расчёт!D28)</f>
        <v/>
      </c>
      <c r="D36" s="15" t="str">
        <f aca="false">IF(Расчёт!B28="","",Расчёт!C28)</f>
        <v/>
      </c>
      <c r="E36" s="23" t="str">
        <f aca="false">IF(Расчёт!B28="","",Расчёт!Q28)</f>
        <v/>
      </c>
      <c r="F36" s="23" t="str">
        <f aca="false">IF(Расчёт!B28="","",Расчёт!P28)</f>
        <v/>
      </c>
    </row>
    <row r="37" customFormat="false" ht="15" hidden="false" customHeight="false" outlineLevel="0" collapsed="false">
      <c r="A37" s="15" t="str">
        <f aca="false">IF(Расчёт!B29="","",Расчёт!A29)</f>
        <v/>
      </c>
      <c r="B37" s="30" t="str">
        <f aca="false">IF(Расчёт!B29="","",Расчёт!B29)</f>
        <v/>
      </c>
      <c r="C37" s="31" t="str">
        <f aca="false">IF(Расчёт!B29="","",Расчёт!D29)</f>
        <v/>
      </c>
      <c r="D37" s="15" t="str">
        <f aca="false">IF(Расчёт!B29="","",Расчёт!C29)</f>
        <v/>
      </c>
      <c r="E37" s="23" t="str">
        <f aca="false">IF(Расчёт!B29="","",Расчёт!Q29)</f>
        <v/>
      </c>
      <c r="F37" s="23" t="str">
        <f aca="false">IF(Расчёт!B29="","",Расчёт!P29)</f>
        <v/>
      </c>
    </row>
    <row r="38" customFormat="false" ht="15" hidden="false" customHeight="false" outlineLevel="0" collapsed="false">
      <c r="A38" s="15" t="str">
        <f aca="false">IF(Расчёт!B30="","",Расчёт!A30)</f>
        <v/>
      </c>
      <c r="B38" s="30" t="str">
        <f aca="false">IF(Расчёт!B30="","",Расчёт!B30)</f>
        <v/>
      </c>
      <c r="C38" s="31" t="str">
        <f aca="false">IF(Расчёт!B30="","",Расчёт!D30)</f>
        <v/>
      </c>
      <c r="D38" s="15" t="str">
        <f aca="false">IF(Расчёт!B30="","",Расчёт!C30)</f>
        <v/>
      </c>
      <c r="E38" s="23" t="str">
        <f aca="false">IF(Расчёт!B30="","",Расчёт!Q30)</f>
        <v/>
      </c>
      <c r="F38" s="23" t="str">
        <f aca="false">IF(Расчёт!B30="","",Расчёт!P30)</f>
        <v/>
      </c>
    </row>
    <row r="39" customFormat="false" ht="15" hidden="false" customHeight="false" outlineLevel="0" collapsed="false">
      <c r="A39" s="15" t="str">
        <f aca="false">IF(Расчёт!$D$35=0,"","F")</f>
        <v/>
      </c>
      <c r="B39" s="30" t="str">
        <f aca="false">IF(Расчёт!$D$35=0,"","Anfahrt / Fahrtkosten")</f>
        <v/>
      </c>
      <c r="C39" s="31" t="str">
        <f aca="false">IF(Расчёт!$D$35=0,"",1)</f>
        <v/>
      </c>
      <c r="D39" s="15" t="str">
        <f aca="false">IF(Расчёт!$D$35=0,"","psch")</f>
        <v/>
      </c>
      <c r="E39" s="23" t="str">
        <f aca="false">F39</f>
        <v/>
      </c>
      <c r="F39" s="23" t="str">
        <f aca="false">IF(Расчёт!$D$35=0,"",IF(AND(ISNUMBER(Расчёт!$D$35),NOT(ISBLANK(Ставки!$B$8)),NOT(ISBLANK(Ставки!$B$9))),Расчёт!$D$35*(1+Ставки!$B$8+Ставки!$B$9),"нет ставки"))</f>
        <v/>
      </c>
    </row>
    <row r="41" customFormat="false" ht="15" hidden="false" customHeight="false" outlineLevel="0" collapsed="false">
      <c r="E41" s="32" t="s">
        <v>251</v>
      </c>
      <c r="F41" s="26" t="str">
        <f aca="false">Расчёт!D45</f>
        <v>нет ставки</v>
      </c>
    </row>
    <row r="42" customFormat="false" ht="15" hidden="false" customHeight="false" outlineLevel="0" collapsed="false">
      <c r="E42" s="32" t="str">
        <f aca="false">"zzgl. MwSt "&amp;TEXT(Ставки!B13*100,"0")&amp;" %"</f>
        <v>zzgl. MwSt 19 %</v>
      </c>
      <c r="F42" s="26" t="str">
        <f aca="false">Расчёт!D46</f>
        <v>нет ставки</v>
      </c>
    </row>
    <row r="43" customFormat="false" ht="15" hidden="false" customHeight="false" outlineLevel="0" collapsed="false">
      <c r="E43" s="32" t="s">
        <v>252</v>
      </c>
      <c r="F43" s="26" t="str">
        <f aca="false">Расчёт!D47</f>
        <v>нет ставки</v>
      </c>
    </row>
    <row r="46" customFormat="false" ht="15" hidden="false" customHeight="false" outlineLevel="0" collapsed="false">
      <c r="A46" s="4" t="s">
        <v>253</v>
      </c>
    </row>
    <row r="47" customFormat="false" ht="15" hidden="false" customHeight="false" outlineLevel="0" collapsed="false">
      <c r="A47" s="4" t="s">
        <v>254</v>
      </c>
    </row>
    <row r="48" customFormat="false" ht="15" hidden="false" customHeight="false" outlineLevel="0" collapsed="false">
      <c r="A48" s="4" t="s">
        <v>255</v>
      </c>
    </row>
    <row r="49" customFormat="false" ht="15" hidden="false" customHeight="false" outlineLevel="0" collapsed="false">
      <c r="A49" s="4" t="s">
        <v>256</v>
      </c>
    </row>
    <row r="50" customFormat="false" ht="15" hidden="false" customHeight="false" outlineLevel="0" collapsed="false">
      <c r="A50" s="4"/>
    </row>
    <row r="51" customFormat="false" ht="15" hidden="false" customHeight="false" outlineLevel="0" collapsed="false">
      <c r="A51" s="4" t="s">
        <v>257</v>
      </c>
    </row>
    <row r="52" customFormat="false" ht="15" hidden="false" customHeight="false" outlineLevel="0" collapsed="false">
      <c r="A52" s="4" t="s">
        <v>258</v>
      </c>
    </row>
    <row r="53" customFormat="false" ht="15" hidden="false" customHeight="false" outlineLevel="0" collapsed="false">
      <c r="A53" s="4"/>
    </row>
    <row r="54" customFormat="false" ht="15" hidden="false" customHeight="false" outlineLevel="0" collapsed="false">
      <c r="A54" s="4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33" t="s">
        <v>260</v>
      </c>
    </row>
    <row r="2" customFormat="false" ht="15" hidden="false" customHeight="false" outlineLevel="0" collapsed="false">
      <c r="A2" s="34"/>
    </row>
    <row r="3" customFormat="false" ht="23.85" hidden="false" customHeight="false" outlineLevel="0" collapsed="false">
      <c r="A3" s="34" t="s">
        <v>261</v>
      </c>
    </row>
    <row r="4" customFormat="false" ht="23.85" hidden="false" customHeight="false" outlineLevel="0" collapsed="false">
      <c r="A4" s="34" t="s">
        <v>262</v>
      </c>
    </row>
    <row r="5" customFormat="false" ht="23.85" hidden="false" customHeight="false" outlineLevel="0" collapsed="false">
      <c r="A5" s="34" t="s">
        <v>263</v>
      </c>
    </row>
    <row r="6" customFormat="false" ht="23.85" hidden="false" customHeight="false" outlineLevel="0" collapsed="false">
      <c r="A6" s="34" t="s">
        <v>264</v>
      </c>
    </row>
    <row r="7" customFormat="false" ht="15" hidden="false" customHeight="false" outlineLevel="0" collapsed="false">
      <c r="A7" s="34" t="s">
        <v>265</v>
      </c>
    </row>
    <row r="8" customFormat="false" ht="23.85" hidden="false" customHeight="false" outlineLevel="0" collapsed="false">
      <c r="A8" s="34" t="s">
        <v>266</v>
      </c>
    </row>
    <row r="9" customFormat="false" ht="15" hidden="false" customHeight="false" outlineLevel="0" collapsed="false">
      <c r="A9" s="34" t="s">
        <v>267</v>
      </c>
    </row>
    <row r="10" customFormat="false" ht="15" hidden="false" customHeight="false" outlineLevel="0" collapsed="false">
      <c r="A10" s="34"/>
    </row>
    <row r="11" customFormat="false" ht="23.85" hidden="false" customHeight="false" outlineLevel="0" collapsed="false">
      <c r="A11" s="35" t="s">
        <v>268</v>
      </c>
    </row>
    <row r="12" customFormat="false" ht="15" hidden="false" customHeight="false" outlineLevel="0" collapsed="false">
      <c r="A12" s="34"/>
    </row>
    <row r="13" customFormat="false" ht="15" hidden="false" customHeight="false" outlineLevel="0" collapsed="false">
      <c r="A13" s="34" t="s">
        <v>269</v>
      </c>
    </row>
    <row r="14" customFormat="false" ht="15" hidden="false" customHeight="false" outlineLevel="0" collapsed="false">
      <c r="A14" s="34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2026-10-07T12:13:23Z</dcterms:created>
  <dc:creator>openpyxl</dc:creator>
  <dc:description/>
  <dc:language>en-US</dc:language>
  <cp:lastModifiedBy/>
  <dcterms:modified xsi:type="dcterms:W3CDTF">2026-10-07T12:13:23Z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